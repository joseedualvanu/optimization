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osealvarez/Desktop/Necesarios/"/>
    </mc:Choice>
  </mc:AlternateContent>
  <xr:revisionPtr revIDLastSave="0" documentId="13_ncr:1_{BAB3A0D0-778E-F845-95D2-78AF9D557050}" xr6:coauthVersionLast="47" xr6:coauthVersionMax="47" xr10:uidLastSave="{00000000-0000-0000-0000-000000000000}"/>
  <bookViews>
    <workbookView xWindow="28800" yWindow="-3100" windowWidth="38400" windowHeight="21100" activeTab="1" xr2:uid="{00000000-000D-0000-FFFF-FFFF00000000}"/>
  </bookViews>
  <sheets>
    <sheet name="Demanda" sheetId="1" r:id="rId1"/>
    <sheet name="Solver" sheetId="5" r:id="rId2"/>
    <sheet name="Asignacion" sheetId="3" r:id="rId3"/>
    <sheet name="Resultado" sheetId="9" r:id="rId4"/>
  </sheets>
  <externalReferences>
    <externalReference r:id="rId5"/>
  </externalReferences>
  <definedNames>
    <definedName name="_xlnm._FilterDatabase" localSheetId="2" hidden="1">Asignacion!$U$1:$V$46</definedName>
    <definedName name="_xlnm._FilterDatabase" localSheetId="0" hidden="1">Demanda!$A$1:$C$2138</definedName>
    <definedName name="_xlnm._FilterDatabase" localSheetId="3" hidden="1">Resultado!$A$1:$D$37</definedName>
    <definedName name="OpenSolver_ChosenSolver" localSheetId="1" hidden="1">NOMAD</definedName>
    <definedName name="OpenSolver_DualsNewSheet" localSheetId="1" hidden="1">0</definedName>
    <definedName name="OpenSolver_LinearityCheck" localSheetId="1" hidden="1">1</definedName>
    <definedName name="OpenSolver_UpdateSensitivity" localSheetId="1" hidden="1">1</definedName>
    <definedName name="solver_adj" localSheetId="0" hidden="1">Demanda!$E$379:$E$405,Demanda!$I$379:$I$405,Demanda!$M$379:$M$405</definedName>
    <definedName name="solver_adj" localSheetId="1" hidden="1">Solver!$D$6:$G$50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3</definedName>
    <definedName name="solver_eng" localSheetId="1" hidden="1">3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Demanda!$E$379:$E$405</definedName>
    <definedName name="solver_lhs1" localSheetId="1" hidden="1">Solver!$D$6:$G$50</definedName>
    <definedName name="solver_lhs10" localSheetId="0" hidden="1">Demanda!#REF!</definedName>
    <definedName name="solver_lhs10" localSheetId="1" hidden="1">Solver!$S$9</definedName>
    <definedName name="solver_lhs2" localSheetId="0" hidden="1">Demanda!$I$379:$I$405</definedName>
    <definedName name="solver_lhs2" localSheetId="1" hidden="1">Solver!$H$6:$H$50</definedName>
    <definedName name="solver_lhs3" localSheetId="0" hidden="1">Demanda!$M$379:$M$405</definedName>
    <definedName name="solver_lhs3" localSheetId="1" hidden="1">Solver!$M$8</definedName>
    <definedName name="solver_lhs4" localSheetId="0" hidden="1">Demanda!$P$379:$P$405</definedName>
    <definedName name="solver_lhs4" localSheetId="1" hidden="1">Solver!$O$8</definedName>
    <definedName name="solver_lhs5" localSheetId="0" hidden="1">Demanda!#REF!</definedName>
    <definedName name="solver_lhs5" localSheetId="1" hidden="1">Solver!$Q$8</definedName>
    <definedName name="solver_lhs6" localSheetId="0" hidden="1">Demanda!#REF!</definedName>
    <definedName name="solver_lhs6" localSheetId="1" hidden="1">Solver!$S$8</definedName>
    <definedName name="solver_lhs7" localSheetId="0" hidden="1">Demanda!#REF!</definedName>
    <definedName name="solver_lhs7" localSheetId="1" hidden="1">Solver!$T$10</definedName>
    <definedName name="solver_lhs8" localSheetId="0" hidden="1">Demanda!#REF!</definedName>
    <definedName name="solver_lhs8" localSheetId="1" hidden="1">Solver!$S$9</definedName>
    <definedName name="solver_lhs9" localSheetId="0" hidden="1">Demanda!#REF!</definedName>
    <definedName name="solver_lhs9" localSheetId="1" hidden="1">Solver!$S$9</definedName>
    <definedName name="solver_lin" localSheetId="1" hidden="1">2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12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7</definedName>
    <definedName name="solver_num" localSheetId="1" hidden="1">7</definedName>
    <definedName name="solver_nwt" localSheetId="0" hidden="1">1</definedName>
    <definedName name="solver_nwt" localSheetId="1" hidden="1">1</definedName>
    <definedName name="solver_opt" localSheetId="0" hidden="1">Demanda!$D$1383</definedName>
    <definedName name="solver_opt" localSheetId="1" hidden="1">Solver!$T$10</definedName>
    <definedName name="solver_pre" localSheetId="0" hidden="1">0.000001</definedName>
    <definedName name="solver_pre" localSheetId="1" hidden="1">0.0001</definedName>
    <definedName name="solver_rbv" localSheetId="0" hidden="1">1</definedName>
    <definedName name="solver_rbv" localSheetId="1" hidden="1">2</definedName>
    <definedName name="solver_rel1" localSheetId="0" hidden="1">5</definedName>
    <definedName name="solver_rel1" localSheetId="1" hidden="1">5</definedName>
    <definedName name="solver_rel10" localSheetId="0" hidden="1">3</definedName>
    <definedName name="solver_rel10" localSheetId="1" hidden="1">1</definedName>
    <definedName name="solver_rel2" localSheetId="0" hidden="1">5</definedName>
    <definedName name="solver_rel2" localSheetId="1" hidden="1">1</definedName>
    <definedName name="solver_rel3" localSheetId="0" hidden="1">5</definedName>
    <definedName name="solver_rel3" localSheetId="1" hidden="1">1</definedName>
    <definedName name="solver_rel4" localSheetId="0" hidden="1">1</definedName>
    <definedName name="solver_rel4" localSheetId="1" hidden="1">1</definedName>
    <definedName name="solver_rel5" localSheetId="0" hidden="1">1</definedName>
    <definedName name="solver_rel5" localSheetId="1" hidden="1">1</definedName>
    <definedName name="solver_rel6" localSheetId="0" hidden="1">1</definedName>
    <definedName name="solver_rel6" localSheetId="1" hidden="1">1</definedName>
    <definedName name="solver_rel7" localSheetId="0" hidden="1">1</definedName>
    <definedName name="solver_rel7" localSheetId="1" hidden="1">3</definedName>
    <definedName name="solver_rel8" localSheetId="0" hidden="1">3</definedName>
    <definedName name="solver_rel8" localSheetId="1" hidden="1">1</definedName>
    <definedName name="solver_rel9" localSheetId="0" hidden="1">3</definedName>
    <definedName name="solver_rel9" localSheetId="1" hidden="1">1</definedName>
    <definedName name="solver_rhs1" localSheetId="0" hidden="1">binario</definedName>
    <definedName name="solver_rhs1" localSheetId="1" hidden="1">"binary"</definedName>
    <definedName name="solver_rhs10" localSheetId="0" hidden="1">0</definedName>
    <definedName name="solver_rhs10" localSheetId="1" hidden="1">Solver!$U$2</definedName>
    <definedName name="solver_rhs2" localSheetId="0" hidden="1">binario</definedName>
    <definedName name="solver_rhs2" localSheetId="1" hidden="1">1</definedName>
    <definedName name="solver_rhs3" localSheetId="0" hidden="1">binario</definedName>
    <definedName name="solver_rhs3" localSheetId="1" hidden="1">Solver!$M$2</definedName>
    <definedName name="solver_rhs4" localSheetId="0" hidden="1">1</definedName>
    <definedName name="solver_rhs4" localSheetId="1" hidden="1">Solver!$P$2</definedName>
    <definedName name="solver_rhs5" localSheetId="0" hidden="1">Demanda!$G$1</definedName>
    <definedName name="solver_rhs5" localSheetId="1" hidden="1">Solver!$S$2</definedName>
    <definedName name="solver_rhs6" localSheetId="0" hidden="1">Demanda!$K$1</definedName>
    <definedName name="solver_rhs6" localSheetId="1" hidden="1">Solver!$V$2</definedName>
    <definedName name="solver_rhs7" localSheetId="0" hidden="1">Demanda!$O$1</definedName>
    <definedName name="solver_rhs7" localSheetId="1" hidden="1">0</definedName>
    <definedName name="solver_rhs8" localSheetId="0" hidden="1">0</definedName>
    <definedName name="solver_rhs8" localSheetId="1" hidden="1">Solver!$U$2</definedName>
    <definedName name="solver_rhs9" localSheetId="0" hidden="1">0</definedName>
    <definedName name="solver_rhs9" localSheetId="1" hidden="1">Solver!$U$2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0</definedName>
    <definedName name="solver_tim" localSheetId="0" hidden="1">2147483647</definedName>
    <definedName name="solver_tim" localSheetId="1" hidden="1">180</definedName>
    <definedName name="solver_tol" localSheetId="0" hidden="1">1</definedName>
    <definedName name="solver_tol" localSheetId="1" hidden="1">0.00001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2</definedName>
    <definedName name="Z_19C366F6_6D3E_41EA_9834_0071E809495E_.wvu.FilterData" localSheetId="0" hidden="1">Demanda!$A$1:$C$1377</definedName>
  </definedNames>
  <calcPr calcId="191029"/>
  <customWorkbookViews>
    <customWorkbookView name="Filtro 1" guid="{19C366F6-6D3E-41EA-9834-0071E809495E}" maximized="1" windowWidth="0" windowHeight="0" activeSheetId="0"/>
  </customWorkbookViews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6" i="5" l="1"/>
  <c r="R35" i="5" l="1"/>
  <c r="R34" i="5"/>
  <c r="R27" i="5" a="1"/>
  <c r="R27" i="5" s="1"/>
  <c r="P36" i="5"/>
  <c r="P35" i="5"/>
  <c r="P29" i="5" a="1"/>
  <c r="P29" i="5" s="1"/>
  <c r="P27" i="5"/>
  <c r="N36" i="5"/>
  <c r="N35" i="5"/>
  <c r="N29" i="5" a="1"/>
  <c r="N29" i="5" s="1"/>
  <c r="N27" i="5"/>
  <c r="R36" i="5"/>
  <c r="P15" i="5"/>
  <c r="P23" i="5"/>
  <c r="P22" i="5"/>
  <c r="P14" i="5"/>
  <c r="S8" i="5" l="1"/>
  <c r="Q8" i="5"/>
  <c r="O8" i="5"/>
  <c r="M8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M5" i="5" l="1"/>
  <c r="M9" i="5"/>
  <c r="N15" i="5"/>
  <c r="N23" i="5" l="1"/>
  <c r="N22" i="5"/>
  <c r="N14" i="5"/>
  <c r="I2" i="5" l="1"/>
  <c r="U2" i="5" l="1"/>
  <c r="Q2" i="5"/>
  <c r="M2" i="5"/>
  <c r="N30" i="5" s="1"/>
  <c r="T2" i="5"/>
  <c r="P2" i="5"/>
  <c r="N31" i="5" s="1"/>
  <c r="L2" i="5"/>
  <c r="S2" i="5"/>
  <c r="N32" i="5" s="1"/>
  <c r="O2" i="5"/>
  <c r="K2" i="5"/>
  <c r="V2" i="5"/>
  <c r="N33" i="5" s="1"/>
  <c r="R2" i="5"/>
  <c r="N2" i="5"/>
  <c r="J2" i="5"/>
  <c r="L15" i="5" l="1"/>
  <c r="P30" i="5" l="1"/>
  <c r="R29" i="5"/>
  <c r="P17" i="5"/>
  <c r="N17" i="5"/>
  <c r="B41" i="3"/>
  <c r="B42" i="3"/>
  <c r="B43" i="3"/>
  <c r="B44" i="3"/>
  <c r="B45" i="3"/>
  <c r="B46" i="3"/>
  <c r="C41" i="3"/>
  <c r="N41" i="3" s="1"/>
  <c r="C42" i="3"/>
  <c r="C43" i="3"/>
  <c r="C44" i="3"/>
  <c r="C45" i="3"/>
  <c r="C46" i="3"/>
  <c r="D41" i="3"/>
  <c r="O41" i="3" s="1"/>
  <c r="D42" i="3"/>
  <c r="O42" i="3" s="1"/>
  <c r="D43" i="3"/>
  <c r="D44" i="3"/>
  <c r="D45" i="3"/>
  <c r="O45" i="3" s="1"/>
  <c r="D46" i="3"/>
  <c r="E41" i="3"/>
  <c r="E42" i="3"/>
  <c r="P42" i="3" s="1"/>
  <c r="E43" i="3"/>
  <c r="E44" i="3"/>
  <c r="E45" i="3"/>
  <c r="E46" i="3"/>
  <c r="A41" i="3"/>
  <c r="L41" i="3" s="1"/>
  <c r="A42" i="3"/>
  <c r="L42" i="3" s="1"/>
  <c r="A43" i="3"/>
  <c r="L43" i="3" s="1"/>
  <c r="A44" i="3"/>
  <c r="L44" i="3" s="1"/>
  <c r="A45" i="3"/>
  <c r="L45" i="3" s="1"/>
  <c r="A46" i="3"/>
  <c r="L46" i="3" s="1"/>
  <c r="S9" i="5"/>
  <c r="Q9" i="5"/>
  <c r="O9" i="5"/>
  <c r="D3" i="3"/>
  <c r="E3" i="3"/>
  <c r="D4" i="3"/>
  <c r="E4" i="3"/>
  <c r="D5" i="3"/>
  <c r="E5" i="3"/>
  <c r="D6" i="3"/>
  <c r="E6" i="3"/>
  <c r="D7" i="3"/>
  <c r="E7" i="3"/>
  <c r="D8" i="3"/>
  <c r="E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E34" i="3"/>
  <c r="D35" i="3"/>
  <c r="E35" i="3"/>
  <c r="D36" i="3"/>
  <c r="E36" i="3"/>
  <c r="D37" i="3"/>
  <c r="E37" i="3"/>
  <c r="D38" i="3"/>
  <c r="E38" i="3"/>
  <c r="D39" i="3"/>
  <c r="E39" i="3"/>
  <c r="D40" i="3"/>
  <c r="E40" i="3"/>
  <c r="D2" i="3"/>
  <c r="E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2" i="3"/>
  <c r="A4" i="3"/>
  <c r="A5" i="3"/>
  <c r="L5" i="3" s="1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L22" i="3" s="1"/>
  <c r="A23" i="3"/>
  <c r="L23" i="3" s="1"/>
  <c r="A24" i="3"/>
  <c r="L24" i="3" s="1"/>
  <c r="A25" i="3"/>
  <c r="L25" i="3" s="1"/>
  <c r="A26" i="3"/>
  <c r="L26" i="3" s="1"/>
  <c r="A27" i="3"/>
  <c r="L27" i="3" s="1"/>
  <c r="A28" i="3"/>
  <c r="L28" i="3" s="1"/>
  <c r="A29" i="3"/>
  <c r="L29" i="3" s="1"/>
  <c r="A30" i="3"/>
  <c r="L30" i="3" s="1"/>
  <c r="A31" i="3"/>
  <c r="L31" i="3" s="1"/>
  <c r="A32" i="3"/>
  <c r="L32" i="3" s="1"/>
  <c r="A33" i="3"/>
  <c r="L33" i="3" s="1"/>
  <c r="A34" i="3"/>
  <c r="L34" i="3" s="1"/>
  <c r="A35" i="3"/>
  <c r="L35" i="3" s="1"/>
  <c r="A36" i="3"/>
  <c r="L36" i="3" s="1"/>
  <c r="A37" i="3"/>
  <c r="L37" i="3" s="1"/>
  <c r="A38" i="3"/>
  <c r="L38" i="3" s="1"/>
  <c r="A39" i="3"/>
  <c r="L39" i="3" s="1"/>
  <c r="A40" i="3"/>
  <c r="L40" i="3" s="1"/>
  <c r="A3" i="3"/>
  <c r="A2" i="3"/>
  <c r="N19" i="5" l="1"/>
  <c r="L17" i="5"/>
  <c r="N20" i="5"/>
  <c r="L18" i="5"/>
  <c r="L16" i="5"/>
  <c r="N18" i="5"/>
  <c r="P9" i="3"/>
  <c r="O38" i="3"/>
  <c r="O20" i="3"/>
  <c r="P3" i="3"/>
  <c r="J4" i="3"/>
  <c r="O2" i="3" s="1"/>
  <c r="J5" i="3"/>
  <c r="P46" i="3" s="1"/>
  <c r="U40" i="3"/>
  <c r="U46" i="3"/>
  <c r="U44" i="3"/>
  <c r="U42" i="3"/>
  <c r="U39" i="3"/>
  <c r="U45" i="3"/>
  <c r="U43" i="3"/>
  <c r="U38" i="3"/>
  <c r="U36" i="3"/>
  <c r="U34" i="3"/>
  <c r="U32" i="3"/>
  <c r="U30" i="3"/>
  <c r="U28" i="3"/>
  <c r="U26" i="3"/>
  <c r="U24" i="3"/>
  <c r="U22" i="3"/>
  <c r="U37" i="3"/>
  <c r="U35" i="3"/>
  <c r="U33" i="3"/>
  <c r="U41" i="3"/>
  <c r="U31" i="3"/>
  <c r="U23" i="3"/>
  <c r="U27" i="3"/>
  <c r="U29" i="3"/>
  <c r="U25" i="3"/>
  <c r="T45" i="3"/>
  <c r="T43" i="3"/>
  <c r="T41" i="3"/>
  <c r="T39" i="3"/>
  <c r="T37" i="3"/>
  <c r="T36" i="3"/>
  <c r="T33" i="3"/>
  <c r="T32" i="3"/>
  <c r="T29" i="3"/>
  <c r="T28" i="3"/>
  <c r="T25" i="3"/>
  <c r="T24" i="3"/>
  <c r="T21" i="3"/>
  <c r="T19" i="3"/>
  <c r="T17" i="3"/>
  <c r="T15" i="3"/>
  <c r="T13" i="3"/>
  <c r="T11" i="3"/>
  <c r="T9" i="3"/>
  <c r="T7" i="3"/>
  <c r="T5" i="3"/>
  <c r="T3" i="3"/>
  <c r="J2" i="3"/>
  <c r="M40" i="3" s="1"/>
  <c r="T46" i="3"/>
  <c r="T44" i="3"/>
  <c r="T42" i="3"/>
  <c r="T40" i="3"/>
  <c r="T38" i="3"/>
  <c r="T35" i="3"/>
  <c r="T34" i="3"/>
  <c r="T31" i="3"/>
  <c r="T30" i="3"/>
  <c r="T27" i="3"/>
  <c r="T26" i="3"/>
  <c r="T23" i="3"/>
  <c r="T22" i="3"/>
  <c r="T20" i="3"/>
  <c r="T18" i="3"/>
  <c r="T16" i="3"/>
  <c r="T14" i="3"/>
  <c r="T12" i="3"/>
  <c r="T10" i="3"/>
  <c r="T8" i="3"/>
  <c r="T6" i="3"/>
  <c r="T4" i="3"/>
  <c r="T2" i="3"/>
  <c r="J3" i="3"/>
  <c r="N39" i="3" s="1"/>
  <c r="L2" i="3"/>
  <c r="I5" i="3"/>
  <c r="I4" i="3"/>
  <c r="I3" i="3"/>
  <c r="I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4" i="3"/>
  <c r="L3" i="3"/>
  <c r="N43" i="3" l="1"/>
  <c r="P32" i="5"/>
  <c r="R31" i="5"/>
  <c r="P31" i="5"/>
  <c r="R30" i="5"/>
  <c r="P33" i="5"/>
  <c r="R32" i="5"/>
  <c r="P20" i="5"/>
  <c r="P19" i="5"/>
  <c r="P18" i="5"/>
  <c r="N42" i="3"/>
  <c r="P20" i="3"/>
  <c r="P41" i="3"/>
  <c r="P38" i="3"/>
  <c r="P43" i="3"/>
  <c r="N45" i="3"/>
  <c r="O43" i="3"/>
  <c r="O9" i="3"/>
  <c r="P45" i="3"/>
  <c r="M41" i="3"/>
  <c r="M45" i="3"/>
  <c r="M43" i="3"/>
  <c r="M42" i="3"/>
  <c r="P24" i="3"/>
  <c r="O24" i="3"/>
  <c r="N8" i="3"/>
  <c r="N24" i="3"/>
  <c r="M9" i="3"/>
  <c r="N9" i="3"/>
  <c r="M22" i="3"/>
  <c r="M34" i="3"/>
  <c r="O3" i="3"/>
  <c r="P8" i="3"/>
  <c r="P22" i="3"/>
  <c r="P34" i="3"/>
  <c r="N22" i="3"/>
  <c r="N34" i="3"/>
  <c r="O8" i="3"/>
  <c r="O22" i="3"/>
  <c r="O34" i="3"/>
  <c r="M8" i="3"/>
  <c r="M24" i="3"/>
  <c r="N18" i="3"/>
  <c r="M7" i="3"/>
  <c r="M21" i="3"/>
  <c r="N7" i="3"/>
  <c r="N21" i="3"/>
  <c r="M6" i="3"/>
  <c r="M32" i="3"/>
  <c r="N6" i="3"/>
  <c r="N32" i="3"/>
  <c r="M17" i="3"/>
  <c r="M33" i="3"/>
  <c r="N17" i="3"/>
  <c r="N33" i="3"/>
  <c r="M18" i="3"/>
  <c r="P6" i="3"/>
  <c r="P10" i="3"/>
  <c r="P17" i="3"/>
  <c r="P19" i="3"/>
  <c r="P30" i="3"/>
  <c r="P32" i="3"/>
  <c r="P35" i="3"/>
  <c r="O6" i="3"/>
  <c r="O10" i="3"/>
  <c r="O17" i="3"/>
  <c r="O19" i="3"/>
  <c r="O30" i="3"/>
  <c r="O32" i="3"/>
  <c r="O35" i="3"/>
  <c r="P7" i="3"/>
  <c r="P15" i="3"/>
  <c r="P18" i="3"/>
  <c r="P21" i="3"/>
  <c r="P31" i="3"/>
  <c r="P33" i="3"/>
  <c r="P36" i="3"/>
  <c r="N10" i="3"/>
  <c r="N30" i="3"/>
  <c r="N36" i="3"/>
  <c r="M15" i="3"/>
  <c r="M19" i="3"/>
  <c r="M31" i="3"/>
  <c r="M35" i="3"/>
  <c r="O7" i="3"/>
  <c r="O15" i="3"/>
  <c r="O18" i="3"/>
  <c r="O21" i="3"/>
  <c r="O31" i="3"/>
  <c r="O33" i="3"/>
  <c r="O36" i="3"/>
  <c r="N15" i="3"/>
  <c r="N19" i="3"/>
  <c r="N31" i="3"/>
  <c r="N35" i="3"/>
  <c r="M10" i="3"/>
  <c r="M30" i="3"/>
  <c r="M36" i="3"/>
  <c r="P12" i="3"/>
  <c r="P27" i="3"/>
  <c r="O44" i="3"/>
  <c r="O12" i="3"/>
  <c r="O27" i="3"/>
  <c r="P5" i="3"/>
  <c r="P14" i="3"/>
  <c r="P25" i="3"/>
  <c r="P29" i="3"/>
  <c r="P40" i="3"/>
  <c r="P44" i="3"/>
  <c r="O5" i="3"/>
  <c r="O14" i="3"/>
  <c r="O25" i="3"/>
  <c r="O29" i="3"/>
  <c r="O40" i="3"/>
  <c r="N4" i="3"/>
  <c r="N14" i="3"/>
  <c r="N20" i="3"/>
  <c r="N28" i="3"/>
  <c r="N40" i="3"/>
  <c r="M11" i="3"/>
  <c r="M23" i="3"/>
  <c r="M27" i="3"/>
  <c r="M37" i="3"/>
  <c r="M44" i="3"/>
  <c r="N44" i="3"/>
  <c r="N3" i="3"/>
  <c r="N11" i="3"/>
  <c r="N23" i="3"/>
  <c r="N27" i="3"/>
  <c r="N37" i="3"/>
  <c r="N2" i="3"/>
  <c r="M12" i="3"/>
  <c r="M16" i="3"/>
  <c r="M26" i="3"/>
  <c r="M38" i="3"/>
  <c r="P4" i="3"/>
  <c r="P11" i="3"/>
  <c r="P13" i="3"/>
  <c r="P16" i="3"/>
  <c r="P23" i="3"/>
  <c r="P26" i="3"/>
  <c r="P28" i="3"/>
  <c r="P37" i="3"/>
  <c r="P39" i="3"/>
  <c r="P2" i="3"/>
  <c r="N12" i="3"/>
  <c r="N16" i="3"/>
  <c r="N26" i="3"/>
  <c r="N38" i="3"/>
  <c r="M5" i="3"/>
  <c r="M13" i="3"/>
  <c r="M25" i="3"/>
  <c r="M29" i="3"/>
  <c r="M39" i="3"/>
  <c r="M46" i="3"/>
  <c r="N46" i="3"/>
  <c r="O46" i="3"/>
  <c r="O4" i="3"/>
  <c r="O11" i="3"/>
  <c r="O13" i="3"/>
  <c r="O16" i="3"/>
  <c r="O23" i="3"/>
  <c r="O26" i="3"/>
  <c r="O28" i="3"/>
  <c r="O37" i="3"/>
  <c r="O39" i="3"/>
  <c r="N5" i="3"/>
  <c r="N13" i="3"/>
  <c r="N25" i="3"/>
  <c r="N29" i="3"/>
  <c r="M4" i="3"/>
  <c r="M14" i="3"/>
  <c r="M20" i="3"/>
  <c r="M28" i="3"/>
  <c r="M3" i="3"/>
  <c r="M2" i="3"/>
  <c r="S4" i="3"/>
  <c r="S6" i="3"/>
  <c r="S8" i="3"/>
  <c r="S10" i="3"/>
  <c r="S12" i="3"/>
  <c r="S14" i="3"/>
  <c r="S16" i="3"/>
  <c r="S18" i="3"/>
  <c r="S20" i="3"/>
  <c r="S22" i="3"/>
  <c r="S24" i="3"/>
  <c r="S26" i="3"/>
  <c r="S28" i="3"/>
  <c r="S30" i="3"/>
  <c r="S32" i="3"/>
  <c r="S34" i="3"/>
  <c r="S36" i="3"/>
  <c r="S38" i="3"/>
  <c r="S40" i="3"/>
  <c r="S42" i="3"/>
  <c r="S44" i="3"/>
  <c r="S46" i="3"/>
  <c r="S3" i="3"/>
  <c r="S5" i="3"/>
  <c r="S7" i="3"/>
  <c r="S9" i="3"/>
  <c r="S11" i="3"/>
  <c r="S13" i="3"/>
  <c r="S15" i="3"/>
  <c r="S17" i="3"/>
  <c r="S19" i="3"/>
  <c r="S21" i="3"/>
  <c r="S23" i="3"/>
  <c r="S25" i="3"/>
  <c r="S27" i="3"/>
  <c r="S29" i="3"/>
  <c r="S31" i="3"/>
  <c r="S33" i="3"/>
  <c r="S35" i="3"/>
  <c r="S37" i="3"/>
  <c r="S39" i="3"/>
  <c r="S41" i="3"/>
  <c r="S43" i="3"/>
  <c r="S45" i="3"/>
  <c r="S2" i="3"/>
  <c r="U3" i="3"/>
  <c r="U5" i="3"/>
  <c r="U7" i="3"/>
  <c r="U9" i="3"/>
  <c r="U11" i="3"/>
  <c r="U13" i="3"/>
  <c r="U15" i="3"/>
  <c r="U17" i="3"/>
  <c r="U19" i="3"/>
  <c r="U21" i="3"/>
  <c r="U4" i="3"/>
  <c r="U6" i="3"/>
  <c r="U8" i="3"/>
  <c r="U10" i="3"/>
  <c r="U12" i="3"/>
  <c r="U14" i="3"/>
  <c r="U16" i="3"/>
  <c r="U18" i="3"/>
  <c r="U20" i="3"/>
  <c r="U2" i="3"/>
  <c r="Q42" i="3" l="1"/>
  <c r="V42" i="3" s="1"/>
  <c r="Q41" i="3"/>
  <c r="V41" i="3" s="1"/>
  <c r="Q43" i="3"/>
  <c r="V43" i="3" s="1"/>
  <c r="Q45" i="3"/>
  <c r="V45" i="3" s="1"/>
  <c r="Q9" i="3"/>
  <c r="V9" i="3" s="1"/>
  <c r="Q24" i="3"/>
  <c r="V24" i="3" s="1"/>
  <c r="Q8" i="3"/>
  <c r="V8" i="3" s="1"/>
  <c r="Q22" i="3"/>
  <c r="V22" i="3" s="1"/>
  <c r="Q34" i="3"/>
  <c r="V34" i="3" s="1"/>
  <c r="Q30" i="3"/>
  <c r="V30" i="3" s="1"/>
  <c r="Q15" i="3"/>
  <c r="V15" i="3" s="1"/>
  <c r="Q21" i="3"/>
  <c r="V21" i="3" s="1"/>
  <c r="Q10" i="3"/>
  <c r="V10" i="3" s="1"/>
  <c r="Q19" i="3"/>
  <c r="V19" i="3" s="1"/>
  <c r="Q18" i="3"/>
  <c r="V18" i="3" s="1"/>
  <c r="Q17" i="3"/>
  <c r="V17" i="3" s="1"/>
  <c r="Q6" i="3"/>
  <c r="V6" i="3" s="1"/>
  <c r="Q7" i="3"/>
  <c r="V7" i="3" s="1"/>
  <c r="Q44" i="3"/>
  <c r="V44" i="3" s="1"/>
  <c r="Q36" i="3"/>
  <c r="V36" i="3" s="1"/>
  <c r="Q35" i="3"/>
  <c r="V35" i="3" s="1"/>
  <c r="Q31" i="3"/>
  <c r="V31" i="3" s="1"/>
  <c r="Q33" i="3"/>
  <c r="V33" i="3" s="1"/>
  <c r="Q32" i="3"/>
  <c r="V32" i="3" s="1"/>
  <c r="Q20" i="3"/>
  <c r="V20" i="3" s="1"/>
  <c r="Q28" i="3"/>
  <c r="V28" i="3" s="1"/>
  <c r="Q3" i="3"/>
  <c r="V3" i="3" s="1"/>
  <c r="Q40" i="3"/>
  <c r="V40" i="3" s="1"/>
  <c r="Q16" i="3"/>
  <c r="V16" i="3" s="1"/>
  <c r="Q2" i="3"/>
  <c r="V2" i="3" s="1"/>
  <c r="Q14" i="3"/>
  <c r="V14" i="3" s="1"/>
  <c r="Q13" i="3"/>
  <c r="V13" i="3" s="1"/>
  <c r="Q4" i="3"/>
  <c r="V4" i="3" s="1"/>
  <c r="Q25" i="3"/>
  <c r="V25" i="3" s="1"/>
  <c r="Q5" i="3"/>
  <c r="V5" i="3" s="1"/>
  <c r="Q12" i="3"/>
  <c r="V12" i="3" s="1"/>
  <c r="Q27" i="3"/>
  <c r="V27" i="3" s="1"/>
  <c r="Q11" i="3"/>
  <c r="V11" i="3" s="1"/>
  <c r="Q39" i="3"/>
  <c r="V39" i="3" s="1"/>
  <c r="Q26" i="3"/>
  <c r="V26" i="3" s="1"/>
  <c r="Q46" i="3"/>
  <c r="V46" i="3" s="1"/>
  <c r="Q29" i="3"/>
  <c r="V29" i="3" s="1"/>
  <c r="Q38" i="3"/>
  <c r="V38" i="3" s="1"/>
  <c r="Q37" i="3"/>
  <c r="V37" i="3" s="1"/>
  <c r="Q23" i="3"/>
  <c r="V23" i="3" s="1"/>
  <c r="H6" i="5"/>
  <c r="N28" i="5" l="1" a="1"/>
  <c r="N28" i="5" s="1"/>
  <c r="R28" i="5" a="1"/>
  <c r="R28" i="5" s="1"/>
  <c r="P16" i="5" a="1"/>
  <c r="P16" i="5" s="1"/>
  <c r="P28" i="5" a="1"/>
  <c r="N16" i="5" a="1"/>
  <c r="N16" i="5" s="1"/>
  <c r="P28" i="5"/>
  <c r="M10" i="5"/>
  <c r="Q10" i="5" l="1"/>
  <c r="S10" i="5"/>
  <c r="O10" i="5"/>
  <c r="T10" i="5" l="1"/>
  <c r="N26" i="5" s="1"/>
  <c r="R33" i="5" l="1"/>
  <c r="R25" i="5"/>
  <c r="P34" i="5"/>
  <c r="P26" i="5"/>
  <c r="N34" i="5"/>
  <c r="P21" i="5"/>
  <c r="P13" i="5"/>
  <c r="N21" i="5"/>
  <c r="N13" i="5"/>
</calcChain>
</file>

<file path=xl/sharedStrings.xml><?xml version="1.0" encoding="utf-8"?>
<sst xmlns="http://schemas.openxmlformats.org/spreadsheetml/2006/main" count="432" uniqueCount="48">
  <si>
    <t>ESTADISTICO</t>
  </si>
  <si>
    <t>BULTOS</t>
  </si>
  <si>
    <t>Folio</t>
  </si>
  <si>
    <t>Estadistico</t>
  </si>
  <si>
    <t>Local</t>
  </si>
  <si>
    <t>Diferencia1</t>
  </si>
  <si>
    <t>Suma Bultos</t>
  </si>
  <si>
    <t>Porcentaje obtenido</t>
  </si>
  <si>
    <t>Diferencia2</t>
  </si>
  <si>
    <t>Suma de BULTOS</t>
  </si>
  <si>
    <t>Folio 1</t>
  </si>
  <si>
    <t>% del Pedido</t>
  </si>
  <si>
    <t>Bultos Máx</t>
  </si>
  <si>
    <t>Folio 2</t>
  </si>
  <si>
    <t>Folio 3</t>
  </si>
  <si>
    <t>Folio 4</t>
  </si>
  <si>
    <t>SUMA TOTAL BULTOS</t>
  </si>
  <si>
    <t>Diferencia3</t>
  </si>
  <si>
    <t>Diferencia4</t>
  </si>
  <si>
    <t>OBJETIVO</t>
  </si>
  <si>
    <t>∑</t>
  </si>
  <si>
    <t>% de BULTOS</t>
  </si>
  <si>
    <t>FOLIO 1</t>
  </si>
  <si>
    <t>FOLIO 2</t>
  </si>
  <si>
    <t>FOLIO 3</t>
  </si>
  <si>
    <t>FOLIO 4</t>
  </si>
  <si>
    <t>FOLIO</t>
  </si>
  <si>
    <t>Folio Capitan</t>
  </si>
  <si>
    <t>FOLIO PRINCIPAL</t>
  </si>
  <si>
    <t>Restricciones Jose Prueba</t>
  </si>
  <si>
    <t>Bulto 1</t>
  </si>
  <si>
    <t>Bulto 2</t>
  </si>
  <si>
    <t>Bulto 3</t>
  </si>
  <si>
    <t>Bulto 4</t>
  </si>
  <si>
    <t>SOLVER_BAUTI</t>
  </si>
  <si>
    <t xml:space="preserve">LOCAL   </t>
  </si>
  <si>
    <t>SOLVER_JOSE</t>
  </si>
  <si>
    <t>RESULTADO_BAUTI</t>
  </si>
  <si>
    <t>RESULTADO_JOSE</t>
  </si>
  <si>
    <t>06359</t>
  </si>
  <si>
    <t>60020</t>
  </si>
  <si>
    <t>60119</t>
  </si>
  <si>
    <t>Borrar2</t>
  </si>
  <si>
    <t>Borrar1</t>
  </si>
  <si>
    <t>07357</t>
  </si>
  <si>
    <t>60051</t>
  </si>
  <si>
    <t>60213</t>
  </si>
  <si>
    <t>01317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</si>
</sst>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4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8"/>
      <color theme="3"/>
      <name val="Calibri Light"/>
      <family val="2"/>
      <charset val="1"/>
      <scheme val="major"/>
    </font>
    <font>
      <b/>
      <sz val="15"/>
      <color theme="3"/>
      <name val="Calibri"/>
      <family val="2"/>
      <charset val="1"/>
      <scheme val="minor"/>
    </font>
    <font>
      <b/>
      <sz val="13"/>
      <color theme="3"/>
      <name val="Calibri"/>
      <family val="2"/>
      <charset val="1"/>
      <scheme val="minor"/>
    </font>
    <font>
      <b/>
      <sz val="11"/>
      <color theme="3"/>
      <name val="Calibri"/>
      <family val="2"/>
      <charset val="1"/>
      <scheme val="minor"/>
    </font>
    <font>
      <sz val="11"/>
      <color rgb="FF006100"/>
      <name val="Calibri"/>
      <family val="2"/>
      <charset val="1"/>
      <scheme val="minor"/>
    </font>
    <font>
      <sz val="11"/>
      <color rgb="FF9C0006"/>
      <name val="Calibri"/>
      <family val="2"/>
      <charset val="1"/>
      <scheme val="minor"/>
    </font>
    <font>
      <sz val="11"/>
      <color rgb="FF9C6500"/>
      <name val="Calibri"/>
      <family val="2"/>
      <charset val="1"/>
      <scheme val="minor"/>
    </font>
    <font>
      <sz val="11"/>
      <color rgb="FF3F3F76"/>
      <name val="Calibri"/>
      <family val="2"/>
      <charset val="1"/>
      <scheme val="minor"/>
    </font>
    <font>
      <b/>
      <sz val="11"/>
      <color rgb="FF3F3F3F"/>
      <name val="Calibri"/>
      <family val="2"/>
      <charset val="1"/>
      <scheme val="minor"/>
    </font>
    <font>
      <b/>
      <sz val="11"/>
      <color rgb="FFFA7D00"/>
      <name val="Calibri"/>
      <family val="2"/>
      <charset val="1"/>
      <scheme val="minor"/>
    </font>
    <font>
      <sz val="11"/>
      <color rgb="FFFA7D00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1"/>
      <color rgb="FFFF0000"/>
      <name val="Calibri"/>
      <family val="2"/>
      <charset val="1"/>
      <scheme val="minor"/>
    </font>
    <font>
      <i/>
      <sz val="11"/>
      <color rgb="FF7F7F7F"/>
      <name val="Calibri"/>
      <family val="2"/>
      <charset val="1"/>
      <scheme val="minor"/>
    </font>
    <font>
      <b/>
      <sz val="11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rgb="FF00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BDD6EE"/>
        <bgColor rgb="FFBDD6E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CC2E5"/>
        <bgColor rgb="FF9CC2E5"/>
      </patternFill>
    </fill>
    <fill>
      <patternFill patternType="solid">
        <fgColor rgb="FFA8D08D"/>
        <bgColor rgb="FFA8D08D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3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medium">
        <color indexed="64"/>
      </right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86">
    <xf numFmtId="0" fontId="0" fillId="0" borderId="0"/>
    <xf numFmtId="9" fontId="10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29" applyNumberFormat="0" applyFill="0" applyAlignment="0" applyProtection="0"/>
    <xf numFmtId="0" fontId="23" fillId="0" borderId="30" applyNumberFormat="0" applyFill="0" applyAlignment="0" applyProtection="0"/>
    <xf numFmtId="0" fontId="24" fillId="0" borderId="31" applyNumberFormat="0" applyFill="0" applyAlignment="0" applyProtection="0"/>
    <xf numFmtId="0" fontId="24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0" applyNumberFormat="0" applyBorder="0" applyAlignment="0" applyProtection="0"/>
    <xf numFmtId="0" fontId="28" fillId="19" borderId="32" applyNumberFormat="0" applyAlignment="0" applyProtection="0"/>
    <xf numFmtId="0" fontId="29" fillId="20" borderId="33" applyNumberFormat="0" applyAlignment="0" applyProtection="0"/>
    <xf numFmtId="0" fontId="30" fillId="20" borderId="32" applyNumberFormat="0" applyAlignment="0" applyProtection="0"/>
    <xf numFmtId="0" fontId="31" fillId="0" borderId="34" applyNumberFormat="0" applyFill="0" applyAlignment="0" applyProtection="0"/>
    <xf numFmtId="0" fontId="32" fillId="21" borderId="35" applyNumberFormat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37" applyNumberFormat="0" applyFill="0" applyAlignment="0" applyProtection="0"/>
    <xf numFmtId="0" fontId="36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36" fillId="38" borderId="0" applyNumberFormat="0" applyBorder="0" applyAlignment="0" applyProtection="0"/>
    <xf numFmtId="0" fontId="36" fillId="39" borderId="0" applyNumberFormat="0" applyBorder="0" applyAlignment="0" applyProtection="0"/>
    <xf numFmtId="0" fontId="8" fillId="40" borderId="0" applyNumberFormat="0" applyBorder="0" applyAlignment="0" applyProtection="0"/>
    <xf numFmtId="0" fontId="8" fillId="41" borderId="0" applyNumberFormat="0" applyBorder="0" applyAlignment="0" applyProtection="0"/>
    <xf numFmtId="0" fontId="36" fillId="42" borderId="0" applyNumberFormat="0" applyBorder="0" applyAlignment="0" applyProtection="0"/>
    <xf numFmtId="0" fontId="36" fillId="43" borderId="0" applyNumberFormat="0" applyBorder="0" applyAlignment="0" applyProtection="0"/>
    <xf numFmtId="0" fontId="8" fillId="44" borderId="0" applyNumberFormat="0" applyBorder="0" applyAlignment="0" applyProtection="0"/>
    <xf numFmtId="0" fontId="8" fillId="45" borderId="0" applyNumberFormat="0" applyBorder="0" applyAlignment="0" applyProtection="0"/>
    <xf numFmtId="0" fontId="36" fillId="46" borderId="0" applyNumberFormat="0" applyBorder="0" applyAlignment="0" applyProtection="0"/>
    <xf numFmtId="0" fontId="8" fillId="0" borderId="0"/>
    <xf numFmtId="0" fontId="8" fillId="22" borderId="36" applyNumberFormat="0" applyFont="0" applyAlignment="0" applyProtection="0"/>
    <xf numFmtId="0" fontId="7" fillId="0" borderId="0"/>
    <xf numFmtId="0" fontId="7" fillId="22" borderId="36" applyNumberFormat="0" applyFont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6" borderId="0" applyNumberFormat="0" applyBorder="0" applyAlignment="0" applyProtection="0"/>
    <xf numFmtId="0" fontId="7" fillId="37" borderId="0" applyNumberFormat="0" applyBorder="0" applyAlignment="0" applyProtection="0"/>
    <xf numFmtId="0" fontId="7" fillId="40" borderId="0" applyNumberFormat="0" applyBorder="0" applyAlignment="0" applyProtection="0"/>
    <xf numFmtId="0" fontId="7" fillId="41" borderId="0" applyNumberFormat="0" applyBorder="0" applyAlignment="0" applyProtection="0"/>
    <xf numFmtId="0" fontId="7" fillId="44" borderId="0" applyNumberFormat="0" applyBorder="0" applyAlignment="0" applyProtection="0"/>
    <xf numFmtId="0" fontId="7" fillId="45" borderId="0" applyNumberFormat="0" applyBorder="0" applyAlignment="0" applyProtection="0"/>
    <xf numFmtId="0" fontId="6" fillId="0" borderId="0"/>
    <xf numFmtId="0" fontId="6" fillId="22" borderId="36" applyNumberFormat="0" applyFont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6" borderId="0" applyNumberFormat="0" applyBorder="0" applyAlignment="0" applyProtection="0"/>
    <xf numFmtId="0" fontId="6" fillId="37" borderId="0" applyNumberFormat="0" applyBorder="0" applyAlignment="0" applyProtection="0"/>
    <xf numFmtId="0" fontId="6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5" fillId="0" borderId="0"/>
    <xf numFmtId="0" fontId="5" fillId="22" borderId="36" applyNumberFormat="0" applyFont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44" borderId="0" applyNumberFormat="0" applyBorder="0" applyAlignment="0" applyProtection="0"/>
    <xf numFmtId="0" fontId="5" fillId="45" borderId="0" applyNumberFormat="0" applyBorder="0" applyAlignment="0" applyProtection="0"/>
    <xf numFmtId="0" fontId="4" fillId="0" borderId="0"/>
    <xf numFmtId="0" fontId="4" fillId="22" borderId="36" applyNumberFormat="0" applyFont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6" borderId="0" applyNumberFormat="0" applyBorder="0" applyAlignment="0" applyProtection="0"/>
    <xf numFmtId="0" fontId="4" fillId="37" borderId="0" applyNumberFormat="0" applyBorder="0" applyAlignment="0" applyProtection="0"/>
    <xf numFmtId="0" fontId="4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4" borderId="0" applyNumberFormat="0" applyBorder="0" applyAlignment="0" applyProtection="0"/>
    <xf numFmtId="0" fontId="4" fillId="45" borderId="0" applyNumberFormat="0" applyBorder="0" applyAlignment="0" applyProtection="0"/>
    <xf numFmtId="0" fontId="3" fillId="0" borderId="0"/>
    <xf numFmtId="0" fontId="3" fillId="22" borderId="36" applyNumberFormat="0" applyFont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7" fillId="0" borderId="0"/>
    <xf numFmtId="0" fontId="38" fillId="0" borderId="0" applyNumberFormat="0" applyFill="0" applyBorder="0" applyAlignment="0" applyProtection="0"/>
    <xf numFmtId="0" fontId="39" fillId="0" borderId="29" applyNumberFormat="0" applyFill="0" applyAlignment="0" applyProtection="0"/>
    <xf numFmtId="0" fontId="40" fillId="0" borderId="30" applyNumberFormat="0" applyFill="0" applyAlignment="0" applyProtection="0"/>
    <xf numFmtId="0" fontId="41" fillId="0" borderId="31" applyNumberFormat="0" applyFill="0" applyAlignment="0" applyProtection="0"/>
    <xf numFmtId="0" fontId="41" fillId="0" borderId="0" applyNumberFormat="0" applyFill="0" applyBorder="0" applyAlignment="0" applyProtection="0"/>
    <xf numFmtId="0" fontId="42" fillId="16" borderId="0" applyNumberFormat="0" applyBorder="0" applyAlignment="0" applyProtection="0"/>
    <xf numFmtId="0" fontId="43" fillId="17" borderId="0" applyNumberFormat="0" applyBorder="0" applyAlignment="0" applyProtection="0"/>
    <xf numFmtId="0" fontId="44" fillId="18" borderId="0" applyNumberFormat="0" applyBorder="0" applyAlignment="0" applyProtection="0"/>
    <xf numFmtId="0" fontId="45" fillId="19" borderId="32" applyNumberFormat="0" applyAlignment="0" applyProtection="0"/>
    <xf numFmtId="0" fontId="46" fillId="20" borderId="33" applyNumberFormat="0" applyAlignment="0" applyProtection="0"/>
    <xf numFmtId="0" fontId="47" fillId="20" borderId="32" applyNumberFormat="0" applyAlignment="0" applyProtection="0"/>
    <xf numFmtId="0" fontId="48" fillId="0" borderId="34" applyNumberFormat="0" applyFill="0" applyAlignment="0" applyProtection="0"/>
    <xf numFmtId="0" fontId="17" fillId="21" borderId="35" applyNumberFormat="0" applyAlignment="0" applyProtection="0"/>
    <xf numFmtId="0" fontId="49" fillId="0" borderId="0" applyNumberFormat="0" applyFill="0" applyBorder="0" applyAlignment="0" applyProtection="0"/>
    <xf numFmtId="0" fontId="37" fillId="22" borderId="36" applyNumberFormat="0" applyFont="0" applyAlignment="0" applyProtection="0"/>
    <xf numFmtId="0" fontId="50" fillId="0" borderId="0" applyNumberFormat="0" applyFill="0" applyBorder="0" applyAlignment="0" applyProtection="0"/>
    <xf numFmtId="0" fontId="51" fillId="0" borderId="37" applyNumberFormat="0" applyFill="0" applyAlignment="0" applyProtection="0"/>
    <xf numFmtId="0" fontId="52" fillId="23" borderId="0" applyNumberFormat="0" applyBorder="0" applyAlignment="0" applyProtection="0"/>
    <xf numFmtId="0" fontId="37" fillId="24" borderId="0" applyNumberFormat="0" applyBorder="0" applyAlignment="0" applyProtection="0"/>
    <xf numFmtId="0" fontId="37" fillId="25" borderId="0" applyNumberFormat="0" applyBorder="0" applyAlignment="0" applyProtection="0"/>
    <xf numFmtId="0" fontId="52" fillId="26" borderId="0" applyNumberFormat="0" applyBorder="0" applyAlignment="0" applyProtection="0"/>
    <xf numFmtId="0" fontId="52" fillId="27" borderId="0" applyNumberFormat="0" applyBorder="0" applyAlignment="0" applyProtection="0"/>
    <xf numFmtId="0" fontId="37" fillId="28" borderId="0" applyNumberFormat="0" applyBorder="0" applyAlignment="0" applyProtection="0"/>
    <xf numFmtId="0" fontId="37" fillId="29" borderId="0" applyNumberFormat="0" applyBorder="0" applyAlignment="0" applyProtection="0"/>
    <xf numFmtId="0" fontId="52" fillId="30" borderId="0" applyNumberFormat="0" applyBorder="0" applyAlignment="0" applyProtection="0"/>
    <xf numFmtId="0" fontId="52" fillId="31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52" fillId="34" borderId="0" applyNumberFormat="0" applyBorder="0" applyAlignment="0" applyProtection="0"/>
    <xf numFmtId="0" fontId="52" fillId="35" borderId="0" applyNumberFormat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52" fillId="38" borderId="0" applyNumberFormat="0" applyBorder="0" applyAlignment="0" applyProtection="0"/>
    <xf numFmtId="0" fontId="52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52" fillId="42" borderId="0" applyNumberFormat="0" applyBorder="0" applyAlignment="0" applyProtection="0"/>
    <xf numFmtId="0" fontId="52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52" fillId="46" borderId="0" applyNumberFormat="0" applyBorder="0" applyAlignment="0" applyProtection="0"/>
    <xf numFmtId="0" fontId="2" fillId="0" borderId="0"/>
    <xf numFmtId="0" fontId="2" fillId="22" borderId="36" applyNumberFormat="0" applyFont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1" fillId="0" borderId="0"/>
    <xf numFmtId="0" fontId="1" fillId="22" borderId="36" applyNumberFormat="0" applyFont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</cellStyleXfs>
  <cellXfs count="78">
    <xf numFmtId="0" fontId="0" fillId="0" borderId="0" xfId="0"/>
    <xf numFmtId="0" fontId="9" fillId="0" borderId="0" xfId="0" applyFont="1"/>
    <xf numFmtId="10" fontId="0" fillId="0" borderId="0" xfId="1" applyNumberFormat="1" applyFont="1" applyAlignment="1"/>
    <xf numFmtId="0" fontId="0" fillId="3" borderId="0" xfId="0" applyFill="1"/>
    <xf numFmtId="0" fontId="0" fillId="0" borderId="0" xfId="0" applyAlignment="1">
      <alignment horizontal="center"/>
    </xf>
    <xf numFmtId="10" fontId="0" fillId="5" borderId="0" xfId="1" applyNumberFormat="1" applyFont="1" applyFill="1" applyAlignment="1"/>
    <xf numFmtId="0" fontId="0" fillId="5" borderId="0" xfId="0" applyFill="1"/>
    <xf numFmtId="10" fontId="0" fillId="3" borderId="0" xfId="1" applyNumberFormat="1" applyFont="1" applyFill="1" applyAlignment="1"/>
    <xf numFmtId="0" fontId="0" fillId="0" borderId="0" xfId="0" pivotButton="1"/>
    <xf numFmtId="0" fontId="13" fillId="6" borderId="3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0" fontId="14" fillId="7" borderId="3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6" borderId="5" xfId="0" applyFont="1" applyFill="1" applyBorder="1" applyAlignment="1">
      <alignment horizontal="center"/>
    </xf>
    <xf numFmtId="0" fontId="10" fillId="10" borderId="0" xfId="0" applyFont="1" applyFill="1" applyAlignment="1">
      <alignment horizontal="center"/>
    </xf>
    <xf numFmtId="0" fontId="10" fillId="9" borderId="2" xfId="0" applyFont="1" applyFill="1" applyBorder="1"/>
    <xf numFmtId="0" fontId="12" fillId="11" borderId="2" xfId="0" applyFont="1" applyFill="1" applyBorder="1"/>
    <xf numFmtId="0" fontId="0" fillId="8" borderId="0" xfId="0" applyFill="1" applyAlignment="1">
      <alignment horizontal="center"/>
    </xf>
    <xf numFmtId="10" fontId="0" fillId="0" borderId="0" xfId="0" applyNumberFormat="1"/>
    <xf numFmtId="0" fontId="0" fillId="12" borderId="0" xfId="0" applyFill="1"/>
    <xf numFmtId="0" fontId="0" fillId="4" borderId="6" xfId="0" applyFill="1" applyBorder="1"/>
    <xf numFmtId="10" fontId="0" fillId="4" borderId="7" xfId="0" applyNumberFormat="1" applyFill="1" applyBorder="1"/>
    <xf numFmtId="0" fontId="0" fillId="4" borderId="7" xfId="0" applyFill="1" applyBorder="1"/>
    <xf numFmtId="0" fontId="10" fillId="4" borderId="7" xfId="0" applyFont="1" applyFill="1" applyBorder="1"/>
    <xf numFmtId="10" fontId="9" fillId="4" borderId="9" xfId="0" applyNumberFormat="1" applyFont="1" applyFill="1" applyBorder="1"/>
    <xf numFmtId="0" fontId="9" fillId="13" borderId="8" xfId="0" applyFont="1" applyFill="1" applyBorder="1"/>
    <xf numFmtId="0" fontId="15" fillId="10" borderId="0" xfId="0" applyFont="1" applyFill="1" applyAlignment="1">
      <alignment horizontal="center"/>
    </xf>
    <xf numFmtId="0" fontId="10" fillId="0" borderId="0" xfId="0" applyFont="1"/>
    <xf numFmtId="0" fontId="16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7" fillId="14" borderId="10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13" fillId="7" borderId="2" xfId="0" applyFont="1" applyFill="1" applyBorder="1" applyAlignment="1">
      <alignment horizontal="center"/>
    </xf>
    <xf numFmtId="0" fontId="17" fillId="14" borderId="18" xfId="0" applyFont="1" applyFill="1" applyBorder="1" applyAlignment="1">
      <alignment horizontal="center"/>
    </xf>
    <xf numFmtId="0" fontId="19" fillId="15" borderId="19" xfId="0" applyFont="1" applyFill="1" applyBorder="1"/>
    <xf numFmtId="0" fontId="19" fillId="0" borderId="19" xfId="0" applyFont="1" applyBorder="1"/>
    <xf numFmtId="0" fontId="19" fillId="8" borderId="21" xfId="0" applyFont="1" applyFill="1" applyBorder="1" applyAlignment="1">
      <alignment horizontal="center"/>
    </xf>
    <xf numFmtId="0" fontId="17" fillId="14" borderId="22" xfId="0" applyFont="1" applyFill="1" applyBorder="1" applyAlignment="1">
      <alignment horizontal="center"/>
    </xf>
    <xf numFmtId="0" fontId="17" fillId="14" borderId="17" xfId="0" applyFont="1" applyFill="1" applyBorder="1"/>
    <xf numFmtId="0" fontId="17" fillId="14" borderId="17" xfId="0" applyFont="1" applyFill="1" applyBorder="1" applyAlignment="1">
      <alignment horizontal="center"/>
    </xf>
    <xf numFmtId="0" fontId="19" fillId="15" borderId="24" xfId="0" applyFont="1" applyFill="1" applyBorder="1"/>
    <xf numFmtId="0" fontId="19" fillId="8" borderId="25" xfId="0" applyFont="1" applyFill="1" applyBorder="1" applyAlignment="1">
      <alignment horizontal="center"/>
    </xf>
    <xf numFmtId="0" fontId="19" fillId="0" borderId="24" xfId="0" applyFont="1" applyBorder="1"/>
    <xf numFmtId="0" fontId="19" fillId="15" borderId="20" xfId="0" applyFont="1" applyFill="1" applyBorder="1"/>
    <xf numFmtId="0" fontId="19" fillId="8" borderId="26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/>
    </xf>
    <xf numFmtId="1" fontId="18" fillId="4" borderId="0" xfId="0" applyNumberFormat="1" applyFont="1" applyFill="1" applyAlignment="1">
      <alignment horizontal="center"/>
    </xf>
    <xf numFmtId="1" fontId="18" fillId="4" borderId="15" xfId="0" applyNumberFormat="1" applyFont="1" applyFill="1" applyBorder="1" applyAlignment="1">
      <alignment horizontal="center"/>
    </xf>
    <xf numFmtId="0" fontId="13" fillId="6" borderId="27" xfId="0" applyFont="1" applyFill="1" applyBorder="1" applyAlignment="1">
      <alignment horizontal="center"/>
    </xf>
    <xf numFmtId="1" fontId="0" fillId="11" borderId="12" xfId="0" applyNumberFormat="1" applyFill="1" applyBorder="1"/>
    <xf numFmtId="0" fontId="19" fillId="15" borderId="0" xfId="0" applyFont="1" applyFill="1"/>
    <xf numFmtId="0" fontId="19" fillId="0" borderId="0" xfId="0" applyFont="1"/>
    <xf numFmtId="1" fontId="0" fillId="11" borderId="14" xfId="0" applyNumberFormat="1" applyFill="1" applyBorder="1"/>
    <xf numFmtId="0" fontId="19" fillId="15" borderId="15" xfId="0" applyFont="1" applyFill="1" applyBorder="1"/>
    <xf numFmtId="1" fontId="20" fillId="11" borderId="1" xfId="0" applyNumberFormat="1" applyFont="1" applyFill="1" applyBorder="1" applyAlignment="1">
      <alignment horizontal="center"/>
    </xf>
    <xf numFmtId="0" fontId="17" fillId="14" borderId="0" xfId="0" applyFont="1" applyFill="1" applyAlignment="1">
      <alignment horizontal="center"/>
    </xf>
    <xf numFmtId="49" fontId="11" fillId="2" borderId="2" xfId="0" applyNumberFormat="1" applyFon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7" fillId="14" borderId="18" xfId="0" applyFont="1" applyFill="1" applyBorder="1" applyAlignment="1">
      <alignment horizontal="right"/>
    </xf>
    <xf numFmtId="0" fontId="10" fillId="0" borderId="13" xfId="0" applyFont="1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0" xfId="0" applyAlignment="1">
      <alignment horizontal="right"/>
    </xf>
    <xf numFmtId="0" fontId="17" fillId="14" borderId="11" xfId="0" applyFont="1" applyFill="1" applyBorder="1" applyAlignment="1">
      <alignment horizontal="center"/>
    </xf>
    <xf numFmtId="0" fontId="19" fillId="8" borderId="16" xfId="0" applyFont="1" applyFill="1" applyBorder="1" applyAlignment="1">
      <alignment horizontal="center"/>
    </xf>
    <xf numFmtId="0" fontId="0" fillId="0" borderId="0" xfId="0" applyAlignment="1">
      <alignment horizontal="left"/>
    </xf>
    <xf numFmtId="10" fontId="10" fillId="3" borderId="0" xfId="1" applyNumberFormat="1" applyFont="1" applyFill="1" applyAlignment="1"/>
    <xf numFmtId="0" fontId="10" fillId="8" borderId="0" xfId="0" applyFont="1" applyFill="1"/>
    <xf numFmtId="10" fontId="0" fillId="8" borderId="0" xfId="0" applyNumberFormat="1" applyFill="1"/>
    <xf numFmtId="0" fontId="0" fillId="8" borderId="0" xfId="0" applyFill="1"/>
    <xf numFmtId="0" fontId="10" fillId="47" borderId="0" xfId="0" applyFont="1" applyFill="1"/>
    <xf numFmtId="0" fontId="0" fillId="47" borderId="0" xfId="0" applyFill="1"/>
    <xf numFmtId="0" fontId="10" fillId="11" borderId="0" xfId="0" applyFont="1" applyFill="1"/>
    <xf numFmtId="10" fontId="0" fillId="11" borderId="0" xfId="0" applyNumberFormat="1" applyFill="1"/>
    <xf numFmtId="0" fontId="0" fillId="11" borderId="0" xfId="0" applyFill="1"/>
    <xf numFmtId="10" fontId="10" fillId="11" borderId="0" xfId="0" applyNumberFormat="1" applyFont="1" applyFill="1"/>
    <xf numFmtId="10" fontId="53" fillId="11" borderId="0" xfId="0" applyNumberFormat="1" applyFont="1" applyFill="1"/>
    <xf numFmtId="1" fontId="11" fillId="2" borderId="1" xfId="0" applyNumberFormat="1" applyFont="1" applyFill="1" applyBorder="1" applyAlignment="1">
      <alignment horizontal="center"/>
    </xf>
  </cellXfs>
  <cellStyles count="18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20% - Énfasis1 2" xfId="48" xr:uid="{00000000-0005-0000-0000-000001000000}"/>
    <cellStyle name="20% - Énfasis1 3" xfId="62" xr:uid="{00000000-0005-0000-0000-000002000000}"/>
    <cellStyle name="20% - Énfasis1 4" xfId="76" xr:uid="{00000000-0005-0000-0000-000003000000}"/>
    <cellStyle name="20% - Énfasis1 5" xfId="90" xr:uid="{00000000-0005-0000-0000-000004000000}"/>
    <cellStyle name="20% - Énfasis1 6" xfId="104" xr:uid="{00000000-0005-0000-0000-000005000000}"/>
    <cellStyle name="20% - Énfasis1 7" xfId="135" xr:uid="{00000000-0005-0000-0000-000006000000}"/>
    <cellStyle name="20% - Énfasis1 8" xfId="160" xr:uid="{00000000-0005-0000-0000-000007000000}"/>
    <cellStyle name="20% - Énfasis1 9" xfId="174" xr:uid="{00000000-0005-0000-0000-000008000000}"/>
    <cellStyle name="20% - Énfasis2 2" xfId="50" xr:uid="{00000000-0005-0000-0000-00000A000000}"/>
    <cellStyle name="20% - Énfasis2 3" xfId="64" xr:uid="{00000000-0005-0000-0000-00000B000000}"/>
    <cellStyle name="20% - Énfasis2 4" xfId="78" xr:uid="{00000000-0005-0000-0000-00000C000000}"/>
    <cellStyle name="20% - Énfasis2 5" xfId="92" xr:uid="{00000000-0005-0000-0000-00000D000000}"/>
    <cellStyle name="20% - Énfasis2 6" xfId="106" xr:uid="{00000000-0005-0000-0000-00000E000000}"/>
    <cellStyle name="20% - Énfasis2 7" xfId="139" xr:uid="{00000000-0005-0000-0000-00000F000000}"/>
    <cellStyle name="20% - Énfasis2 8" xfId="162" xr:uid="{00000000-0005-0000-0000-000010000000}"/>
    <cellStyle name="20% - Énfasis2 9" xfId="176" xr:uid="{00000000-0005-0000-0000-000011000000}"/>
    <cellStyle name="20% - Énfasis3 2" xfId="52" xr:uid="{00000000-0005-0000-0000-000013000000}"/>
    <cellStyle name="20% - Énfasis3 3" xfId="66" xr:uid="{00000000-0005-0000-0000-000014000000}"/>
    <cellStyle name="20% - Énfasis3 4" xfId="80" xr:uid="{00000000-0005-0000-0000-000015000000}"/>
    <cellStyle name="20% - Énfasis3 5" xfId="94" xr:uid="{00000000-0005-0000-0000-000016000000}"/>
    <cellStyle name="20% - Énfasis3 6" xfId="108" xr:uid="{00000000-0005-0000-0000-000017000000}"/>
    <cellStyle name="20% - Énfasis3 7" xfId="143" xr:uid="{00000000-0005-0000-0000-000018000000}"/>
    <cellStyle name="20% - Énfasis3 8" xfId="164" xr:uid="{00000000-0005-0000-0000-000019000000}"/>
    <cellStyle name="20% - Énfasis3 9" xfId="178" xr:uid="{00000000-0005-0000-0000-00001A000000}"/>
    <cellStyle name="20% - Énfasis4 2" xfId="54" xr:uid="{00000000-0005-0000-0000-00001C000000}"/>
    <cellStyle name="20% - Énfasis4 3" xfId="68" xr:uid="{00000000-0005-0000-0000-00001D000000}"/>
    <cellStyle name="20% - Énfasis4 4" xfId="82" xr:uid="{00000000-0005-0000-0000-00001E000000}"/>
    <cellStyle name="20% - Énfasis4 5" xfId="96" xr:uid="{00000000-0005-0000-0000-00001F000000}"/>
    <cellStyle name="20% - Énfasis4 6" xfId="110" xr:uid="{00000000-0005-0000-0000-000020000000}"/>
    <cellStyle name="20% - Énfasis4 7" xfId="147" xr:uid="{00000000-0005-0000-0000-000021000000}"/>
    <cellStyle name="20% - Énfasis4 8" xfId="166" xr:uid="{00000000-0005-0000-0000-000022000000}"/>
    <cellStyle name="20% - Énfasis4 9" xfId="180" xr:uid="{00000000-0005-0000-0000-000023000000}"/>
    <cellStyle name="20% - Énfasis5 2" xfId="56" xr:uid="{00000000-0005-0000-0000-000025000000}"/>
    <cellStyle name="20% - Énfasis5 3" xfId="70" xr:uid="{00000000-0005-0000-0000-000026000000}"/>
    <cellStyle name="20% - Énfasis5 4" xfId="84" xr:uid="{00000000-0005-0000-0000-000027000000}"/>
    <cellStyle name="20% - Énfasis5 5" xfId="98" xr:uid="{00000000-0005-0000-0000-000028000000}"/>
    <cellStyle name="20% - Énfasis5 6" xfId="112" xr:uid="{00000000-0005-0000-0000-000029000000}"/>
    <cellStyle name="20% - Énfasis5 7" xfId="151" xr:uid="{00000000-0005-0000-0000-00002A000000}"/>
    <cellStyle name="20% - Énfasis5 8" xfId="168" xr:uid="{00000000-0005-0000-0000-00002B000000}"/>
    <cellStyle name="20% - Énfasis5 9" xfId="182" xr:uid="{00000000-0005-0000-0000-00002C000000}"/>
    <cellStyle name="20% - Énfasis6 2" xfId="58" xr:uid="{00000000-0005-0000-0000-00002E000000}"/>
    <cellStyle name="20% - Énfasis6 3" xfId="72" xr:uid="{00000000-0005-0000-0000-00002F000000}"/>
    <cellStyle name="20% - Énfasis6 4" xfId="86" xr:uid="{00000000-0005-0000-0000-000030000000}"/>
    <cellStyle name="20% - Énfasis6 5" xfId="100" xr:uid="{00000000-0005-0000-0000-000031000000}"/>
    <cellStyle name="20% - Énfasis6 6" xfId="114" xr:uid="{00000000-0005-0000-0000-000032000000}"/>
    <cellStyle name="20% - Énfasis6 7" xfId="155" xr:uid="{00000000-0005-0000-0000-000033000000}"/>
    <cellStyle name="20% - Énfasis6 8" xfId="170" xr:uid="{00000000-0005-0000-0000-000034000000}"/>
    <cellStyle name="20% - Énfasis6 9" xfId="184" xr:uid="{00000000-0005-0000-0000-000035000000}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40% - Énfasis1 2" xfId="49" xr:uid="{00000000-0005-0000-0000-000037000000}"/>
    <cellStyle name="40% - Énfasis1 3" xfId="63" xr:uid="{00000000-0005-0000-0000-000038000000}"/>
    <cellStyle name="40% - Énfasis1 4" xfId="77" xr:uid="{00000000-0005-0000-0000-000039000000}"/>
    <cellStyle name="40% - Énfasis1 5" xfId="91" xr:uid="{00000000-0005-0000-0000-00003A000000}"/>
    <cellStyle name="40% - Énfasis1 6" xfId="105" xr:uid="{00000000-0005-0000-0000-00003B000000}"/>
    <cellStyle name="40% - Énfasis1 7" xfId="136" xr:uid="{00000000-0005-0000-0000-00003C000000}"/>
    <cellStyle name="40% - Énfasis1 8" xfId="161" xr:uid="{00000000-0005-0000-0000-00003D000000}"/>
    <cellStyle name="40% - Énfasis1 9" xfId="175" xr:uid="{00000000-0005-0000-0000-00003E000000}"/>
    <cellStyle name="40% - Énfasis2 2" xfId="51" xr:uid="{00000000-0005-0000-0000-000040000000}"/>
    <cellStyle name="40% - Énfasis2 3" xfId="65" xr:uid="{00000000-0005-0000-0000-000041000000}"/>
    <cellStyle name="40% - Énfasis2 4" xfId="79" xr:uid="{00000000-0005-0000-0000-000042000000}"/>
    <cellStyle name="40% - Énfasis2 5" xfId="93" xr:uid="{00000000-0005-0000-0000-000043000000}"/>
    <cellStyle name="40% - Énfasis2 6" xfId="107" xr:uid="{00000000-0005-0000-0000-000044000000}"/>
    <cellStyle name="40% - Énfasis2 7" xfId="140" xr:uid="{00000000-0005-0000-0000-000045000000}"/>
    <cellStyle name="40% - Énfasis2 8" xfId="163" xr:uid="{00000000-0005-0000-0000-000046000000}"/>
    <cellStyle name="40% - Énfasis2 9" xfId="177" xr:uid="{00000000-0005-0000-0000-000047000000}"/>
    <cellStyle name="40% - Énfasis3 2" xfId="53" xr:uid="{00000000-0005-0000-0000-000049000000}"/>
    <cellStyle name="40% - Énfasis3 3" xfId="67" xr:uid="{00000000-0005-0000-0000-00004A000000}"/>
    <cellStyle name="40% - Énfasis3 4" xfId="81" xr:uid="{00000000-0005-0000-0000-00004B000000}"/>
    <cellStyle name="40% - Énfasis3 5" xfId="95" xr:uid="{00000000-0005-0000-0000-00004C000000}"/>
    <cellStyle name="40% - Énfasis3 6" xfId="109" xr:uid="{00000000-0005-0000-0000-00004D000000}"/>
    <cellStyle name="40% - Énfasis3 7" xfId="144" xr:uid="{00000000-0005-0000-0000-00004E000000}"/>
    <cellStyle name="40% - Énfasis3 8" xfId="165" xr:uid="{00000000-0005-0000-0000-00004F000000}"/>
    <cellStyle name="40% - Énfasis3 9" xfId="179" xr:uid="{00000000-0005-0000-0000-000050000000}"/>
    <cellStyle name="40% - Énfasis4 2" xfId="55" xr:uid="{00000000-0005-0000-0000-000052000000}"/>
    <cellStyle name="40% - Énfasis4 3" xfId="69" xr:uid="{00000000-0005-0000-0000-000053000000}"/>
    <cellStyle name="40% - Énfasis4 4" xfId="83" xr:uid="{00000000-0005-0000-0000-000054000000}"/>
    <cellStyle name="40% - Énfasis4 5" xfId="97" xr:uid="{00000000-0005-0000-0000-000055000000}"/>
    <cellStyle name="40% - Énfasis4 6" xfId="111" xr:uid="{00000000-0005-0000-0000-000056000000}"/>
    <cellStyle name="40% - Énfasis4 7" xfId="148" xr:uid="{00000000-0005-0000-0000-000057000000}"/>
    <cellStyle name="40% - Énfasis4 8" xfId="167" xr:uid="{00000000-0005-0000-0000-000058000000}"/>
    <cellStyle name="40% - Énfasis4 9" xfId="181" xr:uid="{00000000-0005-0000-0000-000059000000}"/>
    <cellStyle name="40% - Énfasis5 2" xfId="57" xr:uid="{00000000-0005-0000-0000-00005B000000}"/>
    <cellStyle name="40% - Énfasis5 3" xfId="71" xr:uid="{00000000-0005-0000-0000-00005C000000}"/>
    <cellStyle name="40% - Énfasis5 4" xfId="85" xr:uid="{00000000-0005-0000-0000-00005D000000}"/>
    <cellStyle name="40% - Énfasis5 5" xfId="99" xr:uid="{00000000-0005-0000-0000-00005E000000}"/>
    <cellStyle name="40% - Énfasis5 6" xfId="113" xr:uid="{00000000-0005-0000-0000-00005F000000}"/>
    <cellStyle name="40% - Énfasis5 7" xfId="152" xr:uid="{00000000-0005-0000-0000-000060000000}"/>
    <cellStyle name="40% - Énfasis5 8" xfId="169" xr:uid="{00000000-0005-0000-0000-000061000000}"/>
    <cellStyle name="40% - Énfasis5 9" xfId="183" xr:uid="{00000000-0005-0000-0000-000062000000}"/>
    <cellStyle name="40% - Énfasis6 2" xfId="59" xr:uid="{00000000-0005-0000-0000-000064000000}"/>
    <cellStyle name="40% - Énfasis6 3" xfId="73" xr:uid="{00000000-0005-0000-0000-000065000000}"/>
    <cellStyle name="40% - Énfasis6 4" xfId="87" xr:uid="{00000000-0005-0000-0000-000066000000}"/>
    <cellStyle name="40% - Énfasis6 5" xfId="101" xr:uid="{00000000-0005-0000-0000-000067000000}"/>
    <cellStyle name="40% - Énfasis6 6" xfId="115" xr:uid="{00000000-0005-0000-0000-000068000000}"/>
    <cellStyle name="40% - Énfasis6 7" xfId="156" xr:uid="{00000000-0005-0000-0000-000069000000}"/>
    <cellStyle name="40% - Énfasis6 8" xfId="171" xr:uid="{00000000-0005-0000-0000-00006A000000}"/>
    <cellStyle name="40% - Énfasis6 9" xfId="185" xr:uid="{00000000-0005-0000-0000-00006B000000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60% - Énfasis1 2" xfId="137" xr:uid="{00000000-0005-0000-0000-00006D000000}"/>
    <cellStyle name="60% - Énfasis2 2" xfId="141" xr:uid="{00000000-0005-0000-0000-00006F000000}"/>
    <cellStyle name="60% - Énfasis3 2" xfId="145" xr:uid="{00000000-0005-0000-0000-000071000000}"/>
    <cellStyle name="60% - Énfasis4 2" xfId="149" xr:uid="{00000000-0005-0000-0000-000073000000}"/>
    <cellStyle name="60% - Énfasis5 2" xfId="153" xr:uid="{00000000-0005-0000-0000-000075000000}"/>
    <cellStyle name="60% - Énfasis6 2" xfId="157" xr:uid="{00000000-0005-0000-0000-000077000000}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Buena 2" xfId="122" xr:uid="{00000000-0005-0000-0000-000078000000}"/>
    <cellStyle name="Calculation" xfId="14" builtinId="22" customBuiltin="1"/>
    <cellStyle name="Cálculo 2" xfId="127" xr:uid="{00000000-0005-0000-0000-00007B000000}"/>
    <cellStyle name="Celda de comprobación 2" xfId="129" xr:uid="{00000000-0005-0000-0000-00007D000000}"/>
    <cellStyle name="Celda vinculada 2" xfId="128" xr:uid="{00000000-0005-0000-0000-00007F000000}"/>
    <cellStyle name="Check Cell" xfId="16" builtinId="23" customBuiltin="1"/>
    <cellStyle name="Encabezado 1 2" xfId="118" xr:uid="{00000000-0005-0000-0000-000081000000}"/>
    <cellStyle name="Encabezado 4 2" xfId="121" xr:uid="{00000000-0005-0000-0000-000083000000}"/>
    <cellStyle name="Énfasis1 2" xfId="134" xr:uid="{00000000-0005-0000-0000-000085000000}"/>
    <cellStyle name="Énfasis2 2" xfId="138" xr:uid="{00000000-0005-0000-0000-000087000000}"/>
    <cellStyle name="Énfasis3 2" xfId="142" xr:uid="{00000000-0005-0000-0000-000089000000}"/>
    <cellStyle name="Énfasis4 2" xfId="146" xr:uid="{00000000-0005-0000-0000-00008B000000}"/>
    <cellStyle name="Énfasis5 2" xfId="150" xr:uid="{00000000-0005-0000-0000-00008D000000}"/>
    <cellStyle name="Énfasis6 2" xfId="154" xr:uid="{00000000-0005-0000-0000-00008F000000}"/>
    <cellStyle name="Entrada 2" xfId="125" xr:uid="{00000000-0005-0000-0000-000091000000}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correcto 2" xfId="123" xr:uid="{00000000-0005-0000-0000-000093000000}"/>
    <cellStyle name="Input" xfId="12" builtinId="20" customBuiltin="1"/>
    <cellStyle name="Linked Cell" xfId="15" builtinId="24" customBuiltin="1"/>
    <cellStyle name="Neutral" xfId="11" builtinId="28" customBuiltin="1"/>
    <cellStyle name="Neutral 2" xfId="124" xr:uid="{00000000-0005-0000-0000-000095000000}"/>
    <cellStyle name="Normal" xfId="0" builtinId="0"/>
    <cellStyle name="Normal 10" xfId="158" xr:uid="{00000000-0005-0000-0000-000097000000}"/>
    <cellStyle name="Normal 11" xfId="172" xr:uid="{00000000-0005-0000-0000-000098000000}"/>
    <cellStyle name="Normal 2" xfId="2" xr:uid="{00000000-0005-0000-0000-000099000000}"/>
    <cellStyle name="Normal 3" xfId="44" xr:uid="{00000000-0005-0000-0000-00009A000000}"/>
    <cellStyle name="Normal 4" xfId="46" xr:uid="{00000000-0005-0000-0000-00009B000000}"/>
    <cellStyle name="Normal 5" xfId="60" xr:uid="{00000000-0005-0000-0000-00009C000000}"/>
    <cellStyle name="Normal 6" xfId="74" xr:uid="{00000000-0005-0000-0000-00009D000000}"/>
    <cellStyle name="Normal 7" xfId="88" xr:uid="{00000000-0005-0000-0000-00009E000000}"/>
    <cellStyle name="Normal 8" xfId="102" xr:uid="{00000000-0005-0000-0000-00009F000000}"/>
    <cellStyle name="Normal 9" xfId="116" xr:uid="{00000000-0005-0000-0000-0000A0000000}"/>
    <cellStyle name="Notas 10" xfId="173" xr:uid="{00000000-0005-0000-0000-0000A1000000}"/>
    <cellStyle name="Notas 2" xfId="45" xr:uid="{00000000-0005-0000-0000-0000A2000000}"/>
    <cellStyle name="Notas 3" xfId="47" xr:uid="{00000000-0005-0000-0000-0000A3000000}"/>
    <cellStyle name="Notas 4" xfId="61" xr:uid="{00000000-0005-0000-0000-0000A4000000}"/>
    <cellStyle name="Notas 5" xfId="75" xr:uid="{00000000-0005-0000-0000-0000A5000000}"/>
    <cellStyle name="Notas 6" xfId="89" xr:uid="{00000000-0005-0000-0000-0000A6000000}"/>
    <cellStyle name="Notas 7" xfId="103" xr:uid="{00000000-0005-0000-0000-0000A7000000}"/>
    <cellStyle name="Notas 8" xfId="131" xr:uid="{00000000-0005-0000-0000-0000A8000000}"/>
    <cellStyle name="Notas 9" xfId="159" xr:uid="{00000000-0005-0000-0000-0000A9000000}"/>
    <cellStyle name="Output" xfId="13" builtinId="21" customBuiltin="1"/>
    <cellStyle name="Percent" xfId="1" builtinId="5"/>
    <cellStyle name="Porcentaje 2" xfId="3" xr:uid="{00000000-0005-0000-0000-0000AB000000}"/>
    <cellStyle name="Salida 2" xfId="126" xr:uid="{00000000-0005-0000-0000-0000AD000000}"/>
    <cellStyle name="Texto de advertencia 2" xfId="130" xr:uid="{00000000-0005-0000-0000-0000AF000000}"/>
    <cellStyle name="Texto explicativo 2" xfId="132" xr:uid="{00000000-0005-0000-0000-0000B1000000}"/>
    <cellStyle name="Title" xfId="4" builtinId="15" customBuiltin="1"/>
    <cellStyle name="Título 2 2" xfId="119" xr:uid="{00000000-0005-0000-0000-0000B4000000}"/>
    <cellStyle name="Título 3 2" xfId="120" xr:uid="{00000000-0005-0000-0000-0000B6000000}"/>
    <cellStyle name="Título 4" xfId="117" xr:uid="{00000000-0005-0000-0000-0000B7000000}"/>
    <cellStyle name="Total" xfId="19" builtinId="25" customBuiltin="1"/>
    <cellStyle name="Total 2" xfId="133" xr:uid="{00000000-0005-0000-0000-0000B9000000}"/>
    <cellStyle name="Warning Text" xfId="17" builtinId="11" customBuiltin="1"/>
  </cellStyles>
  <dxfs count="2">
    <dxf>
      <font>
        <color auto="1"/>
      </font>
      <fill>
        <patternFill>
          <bgColor rgb="FFFF0000"/>
        </patternFill>
      </fill>
    </dxf>
    <dxf>
      <numFmt numFmtId="0" formatCode="General"/>
      <fill>
        <patternFill>
          <fgColor auto="1"/>
          <bgColor theme="5" tint="0.39994506668294322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rv-cnd-fs01.tata.com.uy/Publicas/Sistemas/RPA/Sync/1-BOT-Sync/DFV-TATA1-FruVer/Necesarios/PlanillaDistribucion/Planilla%20Distr.%20FyV%20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la Distr. FyV Final1"/>
      <sheetName val="Hoja1"/>
    </sheetNames>
    <sheetDataSet>
      <sheetData sheetId="0">
        <row r="2">
          <cell r="B2" t="str">
            <v>06359</v>
          </cell>
          <cell r="C2">
            <v>270801000</v>
          </cell>
          <cell r="D2">
            <v>0</v>
          </cell>
          <cell r="E2">
            <v>250</v>
          </cell>
          <cell r="F2" t="str">
            <v>60020</v>
          </cell>
          <cell r="G2">
            <v>60</v>
          </cell>
          <cell r="H2">
            <v>250</v>
          </cell>
          <cell r="I2">
            <v>60119</v>
          </cell>
          <cell r="J2">
            <v>40</v>
          </cell>
          <cell r="K2">
            <v>250</v>
          </cell>
          <cell r="L2"/>
          <cell r="M2"/>
          <cell r="N2"/>
          <cell r="O2"/>
          <cell r="P2"/>
          <cell r="Q2"/>
        </row>
        <row r="3">
          <cell r="B3" t="str">
            <v>06359</v>
          </cell>
          <cell r="C3">
            <v>270803000</v>
          </cell>
          <cell r="D3">
            <v>0</v>
          </cell>
          <cell r="E3">
            <v>250</v>
          </cell>
          <cell r="F3" t="str">
            <v>07357</v>
          </cell>
          <cell r="G3">
            <v>100</v>
          </cell>
          <cell r="H3">
            <v>250</v>
          </cell>
          <cell r="I3"/>
          <cell r="J3"/>
          <cell r="K3"/>
          <cell r="L3"/>
          <cell r="M3"/>
          <cell r="N3"/>
          <cell r="O3"/>
          <cell r="P3"/>
          <cell r="Q3"/>
        </row>
        <row r="4">
          <cell r="B4" t="str">
            <v>01317</v>
          </cell>
          <cell r="C4">
            <v>271212000</v>
          </cell>
          <cell r="D4">
            <v>0</v>
          </cell>
          <cell r="E4">
            <v>250</v>
          </cell>
          <cell r="F4" t="str">
            <v>60051</v>
          </cell>
          <cell r="G4">
            <v>50</v>
          </cell>
          <cell r="H4">
            <v>250</v>
          </cell>
          <cell r="I4">
            <v>60213</v>
          </cell>
          <cell r="J4">
            <v>50</v>
          </cell>
          <cell r="K4">
            <v>250</v>
          </cell>
          <cell r="L4"/>
          <cell r="M4"/>
          <cell r="N4"/>
          <cell r="O4"/>
          <cell r="P4"/>
          <cell r="Q4"/>
        </row>
        <row r="5">
          <cell r="B5">
            <v>60051</v>
          </cell>
          <cell r="C5">
            <v>271239000</v>
          </cell>
          <cell r="D5">
            <v>0</v>
          </cell>
          <cell r="E5">
            <v>250</v>
          </cell>
          <cell r="F5">
            <v>60213</v>
          </cell>
          <cell r="G5">
            <v>100</v>
          </cell>
          <cell r="H5">
            <v>250</v>
          </cell>
          <cell r="I5"/>
          <cell r="J5"/>
          <cell r="K5"/>
          <cell r="L5"/>
          <cell r="M5"/>
          <cell r="N5"/>
          <cell r="O5"/>
          <cell r="P5"/>
          <cell r="Q5"/>
        </row>
        <row r="6">
          <cell r="B6" t="str">
            <v>03398</v>
          </cell>
          <cell r="C6">
            <v>271503000</v>
          </cell>
          <cell r="D6">
            <v>0</v>
          </cell>
          <cell r="E6">
            <v>250</v>
          </cell>
          <cell r="F6">
            <v>60331</v>
          </cell>
          <cell r="G6">
            <v>70</v>
          </cell>
          <cell r="H6">
            <v>250</v>
          </cell>
          <cell r="I6" t="str">
            <v>21651</v>
          </cell>
          <cell r="J6" t="str">
            <v>30</v>
          </cell>
          <cell r="K6" t="str">
            <v>250</v>
          </cell>
          <cell r="L6"/>
          <cell r="M6"/>
          <cell r="N6"/>
          <cell r="O6"/>
          <cell r="P6"/>
          <cell r="Q6"/>
        </row>
        <row r="7">
          <cell r="B7" t="str">
            <v>20231</v>
          </cell>
          <cell r="C7">
            <v>271214000</v>
          </cell>
          <cell r="D7">
            <v>80</v>
          </cell>
          <cell r="E7">
            <v>250</v>
          </cell>
          <cell r="F7" t="str">
            <v>10179</v>
          </cell>
          <cell r="G7">
            <v>20</v>
          </cell>
          <cell r="H7">
            <v>250</v>
          </cell>
          <cell r="I7"/>
          <cell r="J7"/>
          <cell r="K7"/>
          <cell r="L7"/>
          <cell r="M7"/>
          <cell r="N7"/>
          <cell r="O7"/>
          <cell r="P7"/>
          <cell r="Q7"/>
        </row>
        <row r="8">
          <cell r="B8" t="str">
            <v>20733</v>
          </cell>
          <cell r="C8">
            <v>271204000</v>
          </cell>
          <cell r="D8">
            <v>0</v>
          </cell>
          <cell r="E8">
            <v>250</v>
          </cell>
          <cell r="F8" t="str">
            <v>60213</v>
          </cell>
          <cell r="G8">
            <v>100</v>
          </cell>
          <cell r="H8">
            <v>250</v>
          </cell>
          <cell r="I8"/>
          <cell r="J8"/>
          <cell r="K8"/>
          <cell r="L8"/>
          <cell r="M8"/>
          <cell r="N8"/>
          <cell r="O8"/>
          <cell r="P8"/>
          <cell r="Q8"/>
        </row>
        <row r="9">
          <cell r="B9" t="str">
            <v>60051</v>
          </cell>
          <cell r="C9">
            <v>271612000</v>
          </cell>
          <cell r="D9">
            <v>0</v>
          </cell>
          <cell r="E9">
            <v>250</v>
          </cell>
          <cell r="F9" t="str">
            <v>20231</v>
          </cell>
          <cell r="G9">
            <v>50</v>
          </cell>
          <cell r="H9">
            <v>250</v>
          </cell>
          <cell r="I9" t="str">
            <v>07309</v>
          </cell>
          <cell r="J9">
            <v>50</v>
          </cell>
          <cell r="K9">
            <v>250</v>
          </cell>
          <cell r="L9"/>
          <cell r="M9"/>
          <cell r="N9"/>
          <cell r="O9"/>
          <cell r="P9"/>
          <cell r="Q9"/>
        </row>
        <row r="10">
          <cell r="B10" t="str">
            <v>06359</v>
          </cell>
          <cell r="C10">
            <v>270408000</v>
          </cell>
          <cell r="D10">
            <v>0</v>
          </cell>
          <cell r="E10">
            <v>250</v>
          </cell>
          <cell r="F10" t="str">
            <v>14682</v>
          </cell>
          <cell r="G10">
            <v>50</v>
          </cell>
          <cell r="H10">
            <v>250</v>
          </cell>
          <cell r="I10" t="str">
            <v>60020</v>
          </cell>
          <cell r="J10">
            <v>50</v>
          </cell>
          <cell r="K10">
            <v>250</v>
          </cell>
          <cell r="L10"/>
          <cell r="M10"/>
          <cell r="N10"/>
          <cell r="O10"/>
          <cell r="P10"/>
          <cell r="Q10"/>
        </row>
        <row r="11">
          <cell r="B11" t="str">
            <v>10539</v>
          </cell>
          <cell r="C11">
            <v>271028000</v>
          </cell>
          <cell r="D11">
            <v>0</v>
          </cell>
          <cell r="E11">
            <v>250</v>
          </cell>
          <cell r="F11" t="str">
            <v>60051</v>
          </cell>
          <cell r="G11">
            <v>100</v>
          </cell>
          <cell r="H11">
            <v>250</v>
          </cell>
          <cell r="I11"/>
          <cell r="J11"/>
          <cell r="K11"/>
          <cell r="L11"/>
          <cell r="M11"/>
          <cell r="N11"/>
          <cell r="O11"/>
          <cell r="P11"/>
          <cell r="Q11"/>
        </row>
        <row r="12">
          <cell r="B12" t="str">
            <v>12398</v>
          </cell>
          <cell r="C12">
            <v>271008000</v>
          </cell>
          <cell r="D12">
            <v>70</v>
          </cell>
          <cell r="E12">
            <v>250</v>
          </cell>
          <cell r="F12">
            <v>14682</v>
          </cell>
          <cell r="G12">
            <v>15</v>
          </cell>
          <cell r="H12">
            <v>250</v>
          </cell>
          <cell r="I12">
            <v>60744</v>
          </cell>
          <cell r="J12">
            <v>15</v>
          </cell>
          <cell r="K12">
            <v>250</v>
          </cell>
          <cell r="L12"/>
          <cell r="M12"/>
          <cell r="N12"/>
          <cell r="O12"/>
          <cell r="P12"/>
          <cell r="Q12"/>
        </row>
        <row r="13">
          <cell r="B13" t="str">
            <v>06359</v>
          </cell>
          <cell r="C13">
            <v>271011000</v>
          </cell>
          <cell r="D13">
            <v>0</v>
          </cell>
          <cell r="E13">
            <v>250</v>
          </cell>
          <cell r="F13">
            <v>60020</v>
          </cell>
          <cell r="G13">
            <v>80</v>
          </cell>
          <cell r="H13">
            <v>250</v>
          </cell>
          <cell r="I13" t="str">
            <v>10537</v>
          </cell>
          <cell r="J13">
            <v>20</v>
          </cell>
          <cell r="K13">
            <v>250</v>
          </cell>
          <cell r="L13"/>
          <cell r="M13"/>
          <cell r="N13"/>
          <cell r="O13"/>
          <cell r="P13"/>
          <cell r="Q13"/>
        </row>
        <row r="14">
          <cell r="B14" t="str">
            <v>06359</v>
          </cell>
          <cell r="C14">
            <v>270306000</v>
          </cell>
          <cell r="D14">
            <v>0</v>
          </cell>
          <cell r="E14">
            <v>250</v>
          </cell>
          <cell r="F14">
            <v>60418</v>
          </cell>
          <cell r="G14">
            <v>100</v>
          </cell>
          <cell r="H14">
            <v>250</v>
          </cell>
          <cell r="I14"/>
          <cell r="J14"/>
          <cell r="K14"/>
          <cell r="L14"/>
          <cell r="M14"/>
          <cell r="N14"/>
          <cell r="O14"/>
          <cell r="P14"/>
          <cell r="Q14"/>
        </row>
        <row r="15">
          <cell r="B15">
            <v>60051</v>
          </cell>
          <cell r="C15">
            <v>271206000</v>
          </cell>
          <cell r="D15">
            <v>0</v>
          </cell>
          <cell r="E15">
            <v>250</v>
          </cell>
          <cell r="F15">
            <v>60707</v>
          </cell>
          <cell r="G15">
            <v>60</v>
          </cell>
          <cell r="H15">
            <v>250</v>
          </cell>
          <cell r="I15" t="str">
            <v>07039</v>
          </cell>
          <cell r="J15">
            <v>20</v>
          </cell>
          <cell r="K15">
            <v>250</v>
          </cell>
          <cell r="L15">
            <v>20231</v>
          </cell>
          <cell r="M15">
            <v>20</v>
          </cell>
          <cell r="N15">
            <v>250</v>
          </cell>
          <cell r="O15"/>
          <cell r="P15"/>
          <cell r="Q15"/>
        </row>
        <row r="16">
          <cell r="B16">
            <v>60051</v>
          </cell>
          <cell r="C16">
            <v>271207000</v>
          </cell>
          <cell r="D16">
            <v>10</v>
          </cell>
          <cell r="E16">
            <v>250</v>
          </cell>
          <cell r="F16">
            <v>60707</v>
          </cell>
          <cell r="G16">
            <v>40</v>
          </cell>
          <cell r="H16">
            <v>250</v>
          </cell>
          <cell r="I16">
            <v>60739</v>
          </cell>
          <cell r="J16">
            <v>40</v>
          </cell>
          <cell r="K16">
            <v>250</v>
          </cell>
          <cell r="L16">
            <v>20231</v>
          </cell>
          <cell r="M16">
            <v>10</v>
          </cell>
          <cell r="N16">
            <v>250</v>
          </cell>
          <cell r="O16"/>
          <cell r="P16"/>
          <cell r="Q16"/>
        </row>
        <row r="17">
          <cell r="B17">
            <v>14738</v>
          </cell>
          <cell r="C17">
            <v>270187000</v>
          </cell>
          <cell r="D17">
            <v>0</v>
          </cell>
          <cell r="E17">
            <v>250</v>
          </cell>
          <cell r="F17" t="str">
            <v>08071</v>
          </cell>
          <cell r="G17">
            <v>40</v>
          </cell>
          <cell r="H17">
            <v>250</v>
          </cell>
          <cell r="I17">
            <v>60530</v>
          </cell>
          <cell r="J17">
            <v>40</v>
          </cell>
          <cell r="K17">
            <v>250</v>
          </cell>
          <cell r="L17" t="str">
            <v>03895</v>
          </cell>
          <cell r="M17">
            <v>20</v>
          </cell>
          <cell r="N17">
            <v>250</v>
          </cell>
          <cell r="O17"/>
          <cell r="P17"/>
          <cell r="Q17"/>
        </row>
        <row r="18">
          <cell r="B18">
            <v>60051</v>
          </cell>
          <cell r="C18">
            <v>271215000</v>
          </cell>
          <cell r="D18">
            <v>20</v>
          </cell>
          <cell r="E18">
            <v>250</v>
          </cell>
          <cell r="F18">
            <v>20231</v>
          </cell>
          <cell r="G18">
            <v>80</v>
          </cell>
          <cell r="H18">
            <v>250</v>
          </cell>
          <cell r="I18"/>
          <cell r="J18"/>
          <cell r="K18"/>
          <cell r="L18"/>
          <cell r="M18"/>
          <cell r="N18"/>
          <cell r="O18"/>
          <cell r="P18"/>
          <cell r="Q18"/>
        </row>
        <row r="19">
          <cell r="B19">
            <v>60051</v>
          </cell>
          <cell r="C19">
            <v>271260000</v>
          </cell>
          <cell r="D19">
            <v>0</v>
          </cell>
          <cell r="E19">
            <v>250</v>
          </cell>
          <cell r="F19">
            <v>60213</v>
          </cell>
          <cell r="G19">
            <v>100</v>
          </cell>
          <cell r="H19">
            <v>250</v>
          </cell>
          <cell r="I19"/>
          <cell r="J19"/>
          <cell r="K19"/>
          <cell r="L19"/>
          <cell r="M19"/>
          <cell r="N19"/>
          <cell r="O19"/>
          <cell r="P19"/>
          <cell r="Q19"/>
        </row>
        <row r="20">
          <cell r="B20" t="str">
            <v>06359</v>
          </cell>
          <cell r="C20">
            <v>271004000</v>
          </cell>
          <cell r="D20">
            <v>0</v>
          </cell>
          <cell r="E20">
            <v>250</v>
          </cell>
          <cell r="F20">
            <v>60020</v>
          </cell>
          <cell r="G20">
            <v>100</v>
          </cell>
          <cell r="H20">
            <v>250</v>
          </cell>
          <cell r="I20"/>
          <cell r="J20"/>
          <cell r="K20"/>
          <cell r="L20"/>
          <cell r="M20"/>
          <cell r="N20"/>
          <cell r="O20"/>
          <cell r="P20"/>
          <cell r="Q20"/>
        </row>
        <row r="21">
          <cell r="B21">
            <v>60051</v>
          </cell>
          <cell r="C21">
            <v>271302000</v>
          </cell>
          <cell r="D21">
            <v>50</v>
          </cell>
          <cell r="E21">
            <v>250</v>
          </cell>
          <cell r="F21">
            <v>20231</v>
          </cell>
          <cell r="G21">
            <v>50</v>
          </cell>
          <cell r="H21">
            <v>250</v>
          </cell>
          <cell r="I21"/>
          <cell r="J21"/>
          <cell r="K21"/>
          <cell r="L21"/>
          <cell r="M21"/>
          <cell r="N21"/>
          <cell r="O21"/>
          <cell r="P21"/>
          <cell r="Q21"/>
        </row>
        <row r="22">
          <cell r="B22">
            <v>60051</v>
          </cell>
          <cell r="C22">
            <v>271259000</v>
          </cell>
          <cell r="D22">
            <v>0</v>
          </cell>
          <cell r="E22">
            <v>250</v>
          </cell>
          <cell r="F22">
            <v>60213</v>
          </cell>
          <cell r="G22">
            <v>100</v>
          </cell>
          <cell r="H22">
            <v>250</v>
          </cell>
          <cell r="I22"/>
          <cell r="J22"/>
          <cell r="K22"/>
          <cell r="L22"/>
          <cell r="M22"/>
          <cell r="N22"/>
          <cell r="O22"/>
          <cell r="P22"/>
          <cell r="Q22"/>
        </row>
        <row r="23">
          <cell r="F23"/>
        </row>
        <row r="24">
          <cell r="F24"/>
        </row>
        <row r="25">
          <cell r="F25"/>
        </row>
        <row r="26">
          <cell r="F26"/>
        </row>
        <row r="27">
          <cell r="F27"/>
        </row>
        <row r="28">
          <cell r="F28"/>
        </row>
        <row r="29">
          <cell r="F29"/>
        </row>
        <row r="30">
          <cell r="F30"/>
        </row>
        <row r="31">
          <cell r="F31"/>
        </row>
        <row r="32">
          <cell r="F32"/>
        </row>
        <row r="33">
          <cell r="F33"/>
        </row>
        <row r="34">
          <cell r="F34"/>
        </row>
        <row r="35">
          <cell r="F35"/>
        </row>
        <row r="36">
          <cell r="F36"/>
        </row>
        <row r="37">
          <cell r="F37"/>
        </row>
        <row r="38">
          <cell r="F38"/>
        </row>
        <row r="39">
          <cell r="F39"/>
        </row>
        <row r="40">
          <cell r="F40"/>
        </row>
        <row r="41">
          <cell r="F41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4">
          <cell r="F54"/>
        </row>
        <row r="55">
          <cell r="F55"/>
        </row>
        <row r="56">
          <cell r="F56"/>
        </row>
        <row r="57">
          <cell r="F57"/>
        </row>
        <row r="58">
          <cell r="F58"/>
        </row>
        <row r="59">
          <cell r="F59"/>
        </row>
        <row r="60">
          <cell r="F60"/>
        </row>
        <row r="61">
          <cell r="F61"/>
        </row>
        <row r="62">
          <cell r="F62"/>
        </row>
        <row r="63">
          <cell r="F63"/>
        </row>
        <row r="64">
          <cell r="F64"/>
        </row>
        <row r="65">
          <cell r="F65"/>
        </row>
        <row r="66">
          <cell r="F66"/>
        </row>
        <row r="67">
          <cell r="F67"/>
        </row>
        <row r="68">
          <cell r="F68"/>
        </row>
        <row r="69">
          <cell r="F69"/>
        </row>
        <row r="70">
          <cell r="F70"/>
        </row>
        <row r="71">
          <cell r="F71"/>
        </row>
        <row r="72">
          <cell r="F72"/>
        </row>
        <row r="73">
          <cell r="F73"/>
        </row>
        <row r="74">
          <cell r="F74"/>
        </row>
        <row r="75">
          <cell r="F75"/>
        </row>
        <row r="76">
          <cell r="F76"/>
        </row>
        <row r="77">
          <cell r="F77"/>
        </row>
        <row r="78">
          <cell r="F78"/>
        </row>
        <row r="79">
          <cell r="F79"/>
        </row>
        <row r="80">
          <cell r="F80"/>
        </row>
        <row r="81">
          <cell r="F81"/>
        </row>
        <row r="82">
          <cell r="F82"/>
        </row>
        <row r="83">
          <cell r="F83"/>
        </row>
        <row r="84">
          <cell r="F84"/>
        </row>
        <row r="85">
          <cell r="F85"/>
        </row>
        <row r="86">
          <cell r="F86"/>
        </row>
        <row r="87">
          <cell r="F87"/>
        </row>
        <row r="88">
          <cell r="F88"/>
        </row>
        <row r="89">
          <cell r="F89"/>
        </row>
        <row r="90">
          <cell r="F90"/>
        </row>
        <row r="91">
          <cell r="F91"/>
        </row>
        <row r="92">
          <cell r="F92"/>
        </row>
        <row r="93">
          <cell r="F93"/>
        </row>
        <row r="94">
          <cell r="F94"/>
        </row>
        <row r="95">
          <cell r="F95"/>
        </row>
        <row r="96">
          <cell r="F96"/>
        </row>
        <row r="97">
          <cell r="F97"/>
        </row>
        <row r="98">
          <cell r="F98"/>
        </row>
        <row r="99">
          <cell r="F99"/>
        </row>
        <row r="100">
          <cell r="F100"/>
        </row>
      </sheetData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URO BOTATA1" refreshedDate="44356.678329745373" createdVersion="5" refreshedVersion="6" minRefreshableVersion="3" recordCount="1990" xr:uid="{00000000-000A-0000-FFFF-FFFF00000000}">
  <cacheSource type="worksheet">
    <worksheetSource ref="A1:C1048576" sheet="Demanda"/>
  </cacheSource>
  <cacheFields count="3">
    <cacheField name="LOCAL   " numFmtId="0">
      <sharedItems containsString="0" containsBlank="1" containsNumber="1" containsInteger="1" minValue="1" maxValue="418" count="86">
        <n v="1"/>
        <n v="2"/>
        <n v="3"/>
        <n v="4"/>
        <n v="7"/>
        <n v="8"/>
        <n v="11"/>
        <n v="15"/>
        <n v="17"/>
        <n v="19"/>
        <n v="20"/>
        <n v="24"/>
        <n v="25"/>
        <n v="27"/>
        <n v="31"/>
        <n v="32"/>
        <n v="34"/>
        <n v="40"/>
        <n v="44"/>
        <n v="46"/>
        <n v="47"/>
        <n v="48"/>
        <n v="49"/>
        <n v="52"/>
        <n v="53"/>
        <n v="56"/>
        <n v="59"/>
        <n v="60"/>
        <n v="61"/>
        <n v="63"/>
        <n v="64"/>
        <n v="98"/>
        <n v="301"/>
        <n v="302"/>
        <n v="304"/>
        <n v="305"/>
        <n v="307"/>
        <n v="309"/>
        <n v="310"/>
        <n v="311"/>
        <n v="312"/>
        <n v="313"/>
        <n v="315"/>
        <n v="316"/>
        <n v="317"/>
        <n v="322"/>
        <n v="324"/>
        <n v="329"/>
        <n v="330"/>
        <n v="401"/>
        <n v="403"/>
        <n v="406"/>
        <n v="411"/>
        <n v="417"/>
        <n v="418"/>
        <m/>
        <n v="327" u="1"/>
        <n v="314" u="1"/>
        <n v="333" u="1"/>
        <n v="320" u="1"/>
        <n v="323" u="1"/>
        <n v="410" u="1"/>
        <n v="326" u="1"/>
        <n v="50" u="1"/>
        <n v="332" u="1"/>
        <n v="319" u="1"/>
        <n v="306" u="1"/>
        <n v="58" u="1"/>
        <n v="335" u="1"/>
        <n v="62" u="1"/>
        <n v="39" u="1"/>
        <n v="325" u="1"/>
        <n v="41" u="1"/>
        <n v="412" u="1"/>
        <n v="328" u="1"/>
        <n v="43" u="1"/>
        <n v="26" u="1"/>
        <n v="45" u="1"/>
        <n v="331" u="1"/>
        <n v="318" u="1"/>
        <n v="334" u="1"/>
        <n v="405" u="1"/>
        <n v="321" u="1"/>
        <n v="51" u="1"/>
        <n v="308" u="1"/>
        <n v="55" u="1"/>
      </sharedItems>
    </cacheField>
    <cacheField name="ESTADISTICO" numFmtId="0">
      <sharedItems containsString="0" containsBlank="1" containsNumber="1" containsInteger="1" minValue="0" maxValue="277143000" count="172">
        <n v="270122000"/>
        <n v="270140000"/>
        <n v="270168000"/>
        <n v="270180000"/>
        <n v="270204000"/>
        <n v="270217000"/>
        <n v="270271000"/>
        <n v="270285000"/>
        <n v="270291000"/>
        <n v="270303000"/>
        <n v="270304000"/>
        <n v="270310000"/>
        <n v="270316000"/>
        <n v="270330000"/>
        <n v="270358000"/>
        <n v="270389000"/>
        <n v="270408000"/>
        <n v="270411000"/>
        <n v="270710000"/>
        <n v="270716000"/>
        <n v="270717000"/>
        <n v="270801000"/>
        <n v="270803000"/>
        <n v="270805000"/>
        <n v="270806000"/>
        <n v="270810000"/>
        <n v="270903000"/>
        <n v="270906000"/>
        <n v="270910000"/>
        <n v="270926000"/>
        <n v="271002000"/>
        <n v="271005000"/>
        <n v="271006000"/>
        <n v="271010000"/>
        <n v="271011000"/>
        <n v="271020000"/>
        <n v="271021000"/>
        <n v="271025000"/>
        <n v="271059000"/>
        <n v="271074000"/>
        <n v="271204000"/>
        <n v="271208000"/>
        <n v="271213000"/>
        <n v="271215000"/>
        <n v="271216000"/>
        <n v="271221000"/>
        <n v="271226000"/>
        <n v="271244000"/>
        <n v="271245000"/>
        <n v="271259000"/>
        <n v="271260000"/>
        <n v="271301000"/>
        <n v="271306000"/>
        <n v="271503000"/>
        <n v="271512000"/>
        <n v="271513000"/>
        <n v="271514000"/>
        <n v="277143000"/>
        <n v="270328000"/>
        <n v="270412000"/>
        <n v="271206000"/>
        <n v="271207000"/>
        <n v="271612000"/>
        <n v="270163000"/>
        <n v="270172000"/>
        <n v="270403000"/>
        <n v="270413000"/>
        <n v="270905000"/>
        <n v="271008000"/>
        <n v="271212000"/>
        <n v="271214000"/>
        <n v="271251000"/>
        <n v="271257000"/>
        <n v="271302000"/>
        <n v="271454000"/>
        <n v="271604000"/>
        <n v="271606000"/>
        <n v="271608000"/>
        <n v="271609000"/>
        <n v="271211000"/>
        <n v="271236000"/>
        <n v="271453000"/>
        <n v="271455000"/>
        <n v="271073000"/>
        <n v="270114000"/>
        <n v="270242000"/>
        <n v="270273000"/>
        <n v="270274000"/>
        <n v="270275000"/>
        <n v="270277000"/>
        <n v="270286000"/>
        <n v="270405000"/>
        <n v="270162000"/>
        <n v="270167000"/>
        <n v="270287000"/>
        <n v="270914000"/>
        <n v="271001000"/>
        <n v="271013000"/>
        <n v="271711000"/>
        <n v="270904000"/>
        <n v="270282000"/>
        <n v="270280000"/>
        <n v="270359000"/>
        <n v="270276000"/>
        <n v="270290000"/>
        <n v="270281000"/>
        <n v="271223000"/>
        <m/>
        <n v="0" u="1"/>
        <n v="271205000" u="1"/>
        <n v="270340000" u="1"/>
        <n v="271242000" u="1"/>
        <n v="270401000" u="1"/>
        <n v="270195000" u="1"/>
        <n v="271305000" u="1"/>
        <n v="271240000" u="1"/>
        <n v="270323000" u="1"/>
        <n v="270930000" u="1"/>
        <n v="270709000" u="1"/>
        <n v="271095000" u="1"/>
        <n v="270334000" u="1"/>
        <n v="271082000" u="1"/>
        <n v="270269000" u="1"/>
        <n v="270306000" u="1"/>
        <n v="270913000" u="1"/>
        <n v="270410000" u="1"/>
        <n v="271713000" u="1"/>
        <n v="270501000" u="1"/>
        <n v="271004000" u="1"/>
        <n v="270421000" u="1"/>
        <n v="271028000" u="1"/>
        <n v="270512000" u="1"/>
        <n v="271015000" u="1"/>
        <n v="270187000" u="1"/>
        <n v="270239000" u="1"/>
        <n v="271505000" u="1"/>
        <n v="270315000" u="1"/>
        <n v="271633000" u="1"/>
        <n v="270406000" u="1"/>
        <n v="270148000" u="1"/>
        <n v="270703000" u="1"/>
        <n v="271102000" u="1"/>
        <n v="270313000" u="1"/>
        <n v="270920000" u="1"/>
        <n v="271009000" u="1"/>
        <n v="270714000" u="1"/>
        <n v="270404000" u="1"/>
        <n v="271603000" u="1"/>
        <n v="270428000" u="1"/>
        <n v="1" u="1"/>
        <n v="270348000" u="1"/>
        <n v="270415000" u="1"/>
        <n v="270452000" u="1"/>
        <n v="270424000" u="1"/>
        <n v="271031000" u="1"/>
        <n v="271224000" u="1"/>
        <n v="271239000" u="1"/>
        <n v="271018000" u="1"/>
        <n v="270192000" u="1"/>
        <n v="270409000" u="1"/>
        <n v="271712000" u="1"/>
        <n v="270190000" u="1"/>
        <n v="270110000" u="1"/>
        <n v="270266000" u="1"/>
        <n v="270407000" u="1"/>
        <n v="270511000" u="1"/>
        <n v="271710000" u="1"/>
        <n v="270238000" u="1"/>
        <n v="270210000" u="1"/>
        <n v="270804000" u="1"/>
        <n v="271012000" u="1"/>
        <n v="271515000" u="1"/>
      </sharedItems>
    </cacheField>
    <cacheField name="BULTOS" numFmtId="0">
      <sharedItems containsString="0" containsBlank="1" containsNumber="1" containsInteger="1" minValue="1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0">
  <r>
    <x v="0"/>
    <x v="0"/>
    <n v="2"/>
  </r>
  <r>
    <x v="0"/>
    <x v="1"/>
    <n v="3"/>
  </r>
  <r>
    <x v="0"/>
    <x v="2"/>
    <n v="1"/>
  </r>
  <r>
    <x v="0"/>
    <x v="3"/>
    <n v="2"/>
  </r>
  <r>
    <x v="0"/>
    <x v="4"/>
    <n v="1"/>
  </r>
  <r>
    <x v="0"/>
    <x v="5"/>
    <n v="1"/>
  </r>
  <r>
    <x v="0"/>
    <x v="6"/>
    <n v="5"/>
  </r>
  <r>
    <x v="0"/>
    <x v="7"/>
    <n v="1"/>
  </r>
  <r>
    <x v="0"/>
    <x v="8"/>
    <n v="1"/>
  </r>
  <r>
    <x v="0"/>
    <x v="9"/>
    <n v="2"/>
  </r>
  <r>
    <x v="0"/>
    <x v="10"/>
    <n v="2"/>
  </r>
  <r>
    <x v="0"/>
    <x v="11"/>
    <n v="1"/>
  </r>
  <r>
    <x v="0"/>
    <x v="12"/>
    <n v="3"/>
  </r>
  <r>
    <x v="0"/>
    <x v="13"/>
    <n v="1"/>
  </r>
  <r>
    <x v="0"/>
    <x v="14"/>
    <n v="1"/>
  </r>
  <r>
    <x v="0"/>
    <x v="15"/>
    <n v="1"/>
  </r>
  <r>
    <x v="0"/>
    <x v="16"/>
    <n v="2"/>
  </r>
  <r>
    <x v="0"/>
    <x v="17"/>
    <n v="1"/>
  </r>
  <r>
    <x v="0"/>
    <x v="18"/>
    <n v="6"/>
  </r>
  <r>
    <x v="0"/>
    <x v="19"/>
    <n v="1"/>
  </r>
  <r>
    <x v="0"/>
    <x v="20"/>
    <n v="1"/>
  </r>
  <r>
    <x v="0"/>
    <x v="21"/>
    <n v="2"/>
  </r>
  <r>
    <x v="0"/>
    <x v="22"/>
    <n v="2"/>
  </r>
  <r>
    <x v="0"/>
    <x v="23"/>
    <n v="1"/>
  </r>
  <r>
    <x v="0"/>
    <x v="24"/>
    <n v="1"/>
  </r>
  <r>
    <x v="0"/>
    <x v="25"/>
    <n v="1"/>
  </r>
  <r>
    <x v="0"/>
    <x v="26"/>
    <n v="2"/>
  </r>
  <r>
    <x v="0"/>
    <x v="27"/>
    <n v="3"/>
  </r>
  <r>
    <x v="0"/>
    <x v="28"/>
    <n v="1"/>
  </r>
  <r>
    <x v="0"/>
    <x v="29"/>
    <n v="3"/>
  </r>
  <r>
    <x v="0"/>
    <x v="30"/>
    <n v="2"/>
  </r>
  <r>
    <x v="0"/>
    <x v="31"/>
    <n v="1"/>
  </r>
  <r>
    <x v="0"/>
    <x v="32"/>
    <n v="2"/>
  </r>
  <r>
    <x v="0"/>
    <x v="33"/>
    <n v="1"/>
  </r>
  <r>
    <x v="0"/>
    <x v="34"/>
    <n v="3"/>
  </r>
  <r>
    <x v="0"/>
    <x v="35"/>
    <n v="2"/>
  </r>
  <r>
    <x v="0"/>
    <x v="36"/>
    <n v="1"/>
  </r>
  <r>
    <x v="0"/>
    <x v="37"/>
    <n v="1"/>
  </r>
  <r>
    <x v="0"/>
    <x v="38"/>
    <n v="8"/>
  </r>
  <r>
    <x v="0"/>
    <x v="39"/>
    <n v="1"/>
  </r>
  <r>
    <x v="0"/>
    <x v="40"/>
    <n v="1"/>
  </r>
  <r>
    <x v="0"/>
    <x v="41"/>
    <n v="1"/>
  </r>
  <r>
    <x v="0"/>
    <x v="42"/>
    <n v="2"/>
  </r>
  <r>
    <x v="0"/>
    <x v="43"/>
    <n v="2"/>
  </r>
  <r>
    <x v="0"/>
    <x v="44"/>
    <n v="4"/>
  </r>
  <r>
    <x v="0"/>
    <x v="45"/>
    <n v="1"/>
  </r>
  <r>
    <x v="0"/>
    <x v="46"/>
    <n v="4"/>
  </r>
  <r>
    <x v="0"/>
    <x v="47"/>
    <n v="1"/>
  </r>
  <r>
    <x v="0"/>
    <x v="48"/>
    <n v="4"/>
  </r>
  <r>
    <x v="0"/>
    <x v="49"/>
    <n v="1"/>
  </r>
  <r>
    <x v="0"/>
    <x v="50"/>
    <n v="2"/>
  </r>
  <r>
    <x v="0"/>
    <x v="51"/>
    <n v="1"/>
  </r>
  <r>
    <x v="0"/>
    <x v="52"/>
    <n v="1"/>
  </r>
  <r>
    <x v="0"/>
    <x v="53"/>
    <n v="1"/>
  </r>
  <r>
    <x v="0"/>
    <x v="54"/>
    <n v="2"/>
  </r>
  <r>
    <x v="0"/>
    <x v="55"/>
    <n v="1"/>
  </r>
  <r>
    <x v="0"/>
    <x v="56"/>
    <n v="1"/>
  </r>
  <r>
    <x v="0"/>
    <x v="57"/>
    <n v="2"/>
  </r>
  <r>
    <x v="1"/>
    <x v="1"/>
    <n v="1"/>
  </r>
  <r>
    <x v="1"/>
    <x v="4"/>
    <n v="1"/>
  </r>
  <r>
    <x v="1"/>
    <x v="12"/>
    <n v="2"/>
  </r>
  <r>
    <x v="1"/>
    <x v="58"/>
    <n v="1"/>
  </r>
  <r>
    <x v="1"/>
    <x v="13"/>
    <n v="1"/>
  </r>
  <r>
    <x v="1"/>
    <x v="59"/>
    <n v="2"/>
  </r>
  <r>
    <x v="1"/>
    <x v="18"/>
    <n v="4"/>
  </r>
  <r>
    <x v="1"/>
    <x v="19"/>
    <n v="3"/>
  </r>
  <r>
    <x v="1"/>
    <x v="21"/>
    <n v="1"/>
  </r>
  <r>
    <x v="1"/>
    <x v="22"/>
    <n v="1"/>
  </r>
  <r>
    <x v="1"/>
    <x v="25"/>
    <n v="1"/>
  </r>
  <r>
    <x v="1"/>
    <x v="26"/>
    <n v="1"/>
  </r>
  <r>
    <x v="1"/>
    <x v="28"/>
    <n v="1"/>
  </r>
  <r>
    <x v="1"/>
    <x v="29"/>
    <n v="3"/>
  </r>
  <r>
    <x v="1"/>
    <x v="30"/>
    <n v="1"/>
  </r>
  <r>
    <x v="1"/>
    <x v="31"/>
    <n v="1"/>
  </r>
  <r>
    <x v="1"/>
    <x v="32"/>
    <n v="1"/>
  </r>
  <r>
    <x v="1"/>
    <x v="33"/>
    <n v="1"/>
  </r>
  <r>
    <x v="1"/>
    <x v="34"/>
    <n v="1"/>
  </r>
  <r>
    <x v="1"/>
    <x v="35"/>
    <n v="1"/>
  </r>
  <r>
    <x v="1"/>
    <x v="38"/>
    <n v="5"/>
  </r>
  <r>
    <x v="1"/>
    <x v="39"/>
    <n v="1"/>
  </r>
  <r>
    <x v="1"/>
    <x v="60"/>
    <n v="1"/>
  </r>
  <r>
    <x v="1"/>
    <x v="61"/>
    <n v="3"/>
  </r>
  <r>
    <x v="1"/>
    <x v="45"/>
    <n v="3"/>
  </r>
  <r>
    <x v="1"/>
    <x v="62"/>
    <n v="1"/>
  </r>
  <r>
    <x v="2"/>
    <x v="0"/>
    <n v="3"/>
  </r>
  <r>
    <x v="2"/>
    <x v="1"/>
    <n v="3"/>
  </r>
  <r>
    <x v="2"/>
    <x v="63"/>
    <n v="1"/>
  </r>
  <r>
    <x v="2"/>
    <x v="64"/>
    <n v="4"/>
  </r>
  <r>
    <x v="2"/>
    <x v="5"/>
    <n v="1"/>
  </r>
  <r>
    <x v="2"/>
    <x v="9"/>
    <n v="1"/>
  </r>
  <r>
    <x v="2"/>
    <x v="12"/>
    <n v="4"/>
  </r>
  <r>
    <x v="2"/>
    <x v="58"/>
    <n v="5"/>
  </r>
  <r>
    <x v="2"/>
    <x v="13"/>
    <n v="1"/>
  </r>
  <r>
    <x v="2"/>
    <x v="65"/>
    <n v="3"/>
  </r>
  <r>
    <x v="2"/>
    <x v="16"/>
    <n v="1"/>
  </r>
  <r>
    <x v="2"/>
    <x v="17"/>
    <n v="7"/>
  </r>
  <r>
    <x v="2"/>
    <x v="66"/>
    <n v="1"/>
  </r>
  <r>
    <x v="2"/>
    <x v="18"/>
    <n v="4"/>
  </r>
  <r>
    <x v="2"/>
    <x v="21"/>
    <n v="1"/>
  </r>
  <r>
    <x v="2"/>
    <x v="22"/>
    <n v="2"/>
  </r>
  <r>
    <x v="2"/>
    <x v="25"/>
    <n v="1"/>
  </r>
  <r>
    <x v="2"/>
    <x v="26"/>
    <n v="2"/>
  </r>
  <r>
    <x v="2"/>
    <x v="67"/>
    <n v="1"/>
  </r>
  <r>
    <x v="2"/>
    <x v="27"/>
    <n v="1"/>
  </r>
  <r>
    <x v="2"/>
    <x v="28"/>
    <n v="1"/>
  </r>
  <r>
    <x v="2"/>
    <x v="29"/>
    <n v="1"/>
  </r>
  <r>
    <x v="2"/>
    <x v="30"/>
    <n v="2"/>
  </r>
  <r>
    <x v="2"/>
    <x v="31"/>
    <n v="2"/>
  </r>
  <r>
    <x v="2"/>
    <x v="32"/>
    <n v="1"/>
  </r>
  <r>
    <x v="2"/>
    <x v="68"/>
    <n v="1"/>
  </r>
  <r>
    <x v="2"/>
    <x v="33"/>
    <n v="1"/>
  </r>
  <r>
    <x v="2"/>
    <x v="34"/>
    <n v="3"/>
  </r>
  <r>
    <x v="2"/>
    <x v="35"/>
    <n v="1"/>
  </r>
  <r>
    <x v="2"/>
    <x v="36"/>
    <n v="1"/>
  </r>
  <r>
    <x v="2"/>
    <x v="38"/>
    <n v="5"/>
  </r>
  <r>
    <x v="2"/>
    <x v="39"/>
    <n v="4"/>
  </r>
  <r>
    <x v="2"/>
    <x v="60"/>
    <n v="4"/>
  </r>
  <r>
    <x v="2"/>
    <x v="61"/>
    <n v="9"/>
  </r>
  <r>
    <x v="2"/>
    <x v="69"/>
    <n v="1"/>
  </r>
  <r>
    <x v="2"/>
    <x v="42"/>
    <n v="1"/>
  </r>
  <r>
    <x v="2"/>
    <x v="70"/>
    <n v="6"/>
  </r>
  <r>
    <x v="2"/>
    <x v="43"/>
    <n v="2"/>
  </r>
  <r>
    <x v="2"/>
    <x v="45"/>
    <n v="6"/>
  </r>
  <r>
    <x v="2"/>
    <x v="71"/>
    <n v="5"/>
  </r>
  <r>
    <x v="2"/>
    <x v="72"/>
    <n v="1"/>
  </r>
  <r>
    <x v="2"/>
    <x v="49"/>
    <n v="1"/>
  </r>
  <r>
    <x v="2"/>
    <x v="50"/>
    <n v="1"/>
  </r>
  <r>
    <x v="2"/>
    <x v="73"/>
    <n v="1"/>
  </r>
  <r>
    <x v="2"/>
    <x v="52"/>
    <n v="2"/>
  </r>
  <r>
    <x v="2"/>
    <x v="74"/>
    <n v="1"/>
  </r>
  <r>
    <x v="2"/>
    <x v="53"/>
    <n v="4"/>
  </r>
  <r>
    <x v="2"/>
    <x v="54"/>
    <n v="2"/>
  </r>
  <r>
    <x v="2"/>
    <x v="75"/>
    <n v="2"/>
  </r>
  <r>
    <x v="2"/>
    <x v="76"/>
    <n v="1"/>
  </r>
  <r>
    <x v="2"/>
    <x v="77"/>
    <n v="1"/>
  </r>
  <r>
    <x v="2"/>
    <x v="78"/>
    <n v="1"/>
  </r>
  <r>
    <x v="2"/>
    <x v="57"/>
    <n v="2"/>
  </r>
  <r>
    <x v="3"/>
    <x v="0"/>
    <n v="1"/>
  </r>
  <r>
    <x v="3"/>
    <x v="1"/>
    <n v="2"/>
  </r>
  <r>
    <x v="3"/>
    <x v="64"/>
    <n v="1"/>
  </r>
  <r>
    <x v="3"/>
    <x v="4"/>
    <n v="1"/>
  </r>
  <r>
    <x v="3"/>
    <x v="5"/>
    <n v="1"/>
  </r>
  <r>
    <x v="3"/>
    <x v="9"/>
    <n v="1"/>
  </r>
  <r>
    <x v="3"/>
    <x v="11"/>
    <n v="1"/>
  </r>
  <r>
    <x v="3"/>
    <x v="12"/>
    <n v="3"/>
  </r>
  <r>
    <x v="3"/>
    <x v="58"/>
    <n v="6"/>
  </r>
  <r>
    <x v="3"/>
    <x v="17"/>
    <n v="2"/>
  </r>
  <r>
    <x v="3"/>
    <x v="66"/>
    <n v="1"/>
  </r>
  <r>
    <x v="3"/>
    <x v="18"/>
    <n v="6"/>
  </r>
  <r>
    <x v="3"/>
    <x v="21"/>
    <n v="1"/>
  </r>
  <r>
    <x v="3"/>
    <x v="22"/>
    <n v="4"/>
  </r>
  <r>
    <x v="3"/>
    <x v="23"/>
    <n v="1"/>
  </r>
  <r>
    <x v="3"/>
    <x v="24"/>
    <n v="1"/>
  </r>
  <r>
    <x v="3"/>
    <x v="25"/>
    <n v="2"/>
  </r>
  <r>
    <x v="3"/>
    <x v="26"/>
    <n v="2"/>
  </r>
  <r>
    <x v="3"/>
    <x v="67"/>
    <n v="1"/>
  </r>
  <r>
    <x v="3"/>
    <x v="27"/>
    <n v="1"/>
  </r>
  <r>
    <x v="3"/>
    <x v="28"/>
    <n v="2"/>
  </r>
  <r>
    <x v="3"/>
    <x v="29"/>
    <n v="4"/>
  </r>
  <r>
    <x v="3"/>
    <x v="30"/>
    <n v="1"/>
  </r>
  <r>
    <x v="3"/>
    <x v="31"/>
    <n v="1"/>
  </r>
  <r>
    <x v="3"/>
    <x v="68"/>
    <n v="1"/>
  </r>
  <r>
    <x v="3"/>
    <x v="33"/>
    <n v="1"/>
  </r>
  <r>
    <x v="3"/>
    <x v="34"/>
    <n v="2"/>
  </r>
  <r>
    <x v="3"/>
    <x v="35"/>
    <n v="3"/>
  </r>
  <r>
    <x v="3"/>
    <x v="36"/>
    <n v="2"/>
  </r>
  <r>
    <x v="3"/>
    <x v="38"/>
    <n v="9"/>
  </r>
  <r>
    <x v="3"/>
    <x v="39"/>
    <n v="2"/>
  </r>
  <r>
    <x v="3"/>
    <x v="60"/>
    <n v="5"/>
  </r>
  <r>
    <x v="3"/>
    <x v="61"/>
    <n v="8"/>
  </r>
  <r>
    <x v="3"/>
    <x v="79"/>
    <n v="1"/>
  </r>
  <r>
    <x v="3"/>
    <x v="69"/>
    <n v="1"/>
  </r>
  <r>
    <x v="3"/>
    <x v="42"/>
    <n v="3"/>
  </r>
  <r>
    <x v="3"/>
    <x v="70"/>
    <n v="4"/>
  </r>
  <r>
    <x v="3"/>
    <x v="43"/>
    <n v="3"/>
  </r>
  <r>
    <x v="3"/>
    <x v="45"/>
    <n v="4"/>
  </r>
  <r>
    <x v="3"/>
    <x v="80"/>
    <n v="1"/>
  </r>
  <r>
    <x v="3"/>
    <x v="48"/>
    <n v="3"/>
  </r>
  <r>
    <x v="3"/>
    <x v="49"/>
    <n v="1"/>
  </r>
  <r>
    <x v="3"/>
    <x v="50"/>
    <n v="1"/>
  </r>
  <r>
    <x v="3"/>
    <x v="51"/>
    <n v="1"/>
  </r>
  <r>
    <x v="3"/>
    <x v="73"/>
    <n v="1"/>
  </r>
  <r>
    <x v="3"/>
    <x v="81"/>
    <n v="1"/>
  </r>
  <r>
    <x v="3"/>
    <x v="74"/>
    <n v="2"/>
  </r>
  <r>
    <x v="3"/>
    <x v="82"/>
    <n v="1"/>
  </r>
  <r>
    <x v="3"/>
    <x v="53"/>
    <n v="3"/>
  </r>
  <r>
    <x v="3"/>
    <x v="55"/>
    <n v="1"/>
  </r>
  <r>
    <x v="3"/>
    <x v="56"/>
    <n v="1"/>
  </r>
  <r>
    <x v="3"/>
    <x v="75"/>
    <n v="2"/>
  </r>
  <r>
    <x v="4"/>
    <x v="1"/>
    <n v="4"/>
  </r>
  <r>
    <x v="4"/>
    <x v="4"/>
    <n v="2"/>
  </r>
  <r>
    <x v="4"/>
    <x v="5"/>
    <n v="2"/>
  </r>
  <r>
    <x v="4"/>
    <x v="9"/>
    <n v="3"/>
  </r>
  <r>
    <x v="4"/>
    <x v="10"/>
    <n v="1"/>
  </r>
  <r>
    <x v="4"/>
    <x v="11"/>
    <n v="2"/>
  </r>
  <r>
    <x v="4"/>
    <x v="12"/>
    <n v="3"/>
  </r>
  <r>
    <x v="4"/>
    <x v="58"/>
    <n v="3"/>
  </r>
  <r>
    <x v="4"/>
    <x v="13"/>
    <n v="1"/>
  </r>
  <r>
    <x v="4"/>
    <x v="65"/>
    <n v="2"/>
  </r>
  <r>
    <x v="4"/>
    <x v="16"/>
    <n v="2"/>
  </r>
  <r>
    <x v="4"/>
    <x v="17"/>
    <n v="4"/>
  </r>
  <r>
    <x v="4"/>
    <x v="19"/>
    <n v="1"/>
  </r>
  <r>
    <x v="4"/>
    <x v="25"/>
    <n v="2"/>
  </r>
  <r>
    <x v="4"/>
    <x v="67"/>
    <n v="3"/>
  </r>
  <r>
    <x v="4"/>
    <x v="27"/>
    <n v="1"/>
  </r>
  <r>
    <x v="4"/>
    <x v="28"/>
    <n v="1"/>
  </r>
  <r>
    <x v="4"/>
    <x v="29"/>
    <n v="3"/>
  </r>
  <r>
    <x v="4"/>
    <x v="30"/>
    <n v="1"/>
  </r>
  <r>
    <x v="4"/>
    <x v="32"/>
    <n v="2"/>
  </r>
  <r>
    <x v="4"/>
    <x v="68"/>
    <n v="2"/>
  </r>
  <r>
    <x v="4"/>
    <x v="33"/>
    <n v="1"/>
  </r>
  <r>
    <x v="4"/>
    <x v="34"/>
    <n v="1"/>
  </r>
  <r>
    <x v="4"/>
    <x v="35"/>
    <n v="1"/>
  </r>
  <r>
    <x v="4"/>
    <x v="38"/>
    <n v="3"/>
  </r>
  <r>
    <x v="4"/>
    <x v="83"/>
    <n v="1"/>
  </r>
  <r>
    <x v="4"/>
    <x v="39"/>
    <n v="1"/>
  </r>
  <r>
    <x v="4"/>
    <x v="60"/>
    <n v="4"/>
  </r>
  <r>
    <x v="4"/>
    <x v="61"/>
    <n v="4"/>
  </r>
  <r>
    <x v="4"/>
    <x v="69"/>
    <n v="2"/>
  </r>
  <r>
    <x v="4"/>
    <x v="42"/>
    <n v="1"/>
  </r>
  <r>
    <x v="4"/>
    <x v="70"/>
    <n v="2"/>
  </r>
  <r>
    <x v="4"/>
    <x v="43"/>
    <n v="3"/>
  </r>
  <r>
    <x v="4"/>
    <x v="80"/>
    <n v="2"/>
  </r>
  <r>
    <x v="4"/>
    <x v="71"/>
    <n v="13"/>
  </r>
  <r>
    <x v="4"/>
    <x v="72"/>
    <n v="5"/>
  </r>
  <r>
    <x v="4"/>
    <x v="49"/>
    <n v="1"/>
  </r>
  <r>
    <x v="4"/>
    <x v="50"/>
    <n v="1"/>
  </r>
  <r>
    <x v="4"/>
    <x v="51"/>
    <n v="2"/>
  </r>
  <r>
    <x v="4"/>
    <x v="52"/>
    <n v="3"/>
  </r>
  <r>
    <x v="4"/>
    <x v="74"/>
    <n v="1"/>
  </r>
  <r>
    <x v="4"/>
    <x v="53"/>
    <n v="2"/>
  </r>
  <r>
    <x v="4"/>
    <x v="54"/>
    <n v="4"/>
  </r>
  <r>
    <x v="4"/>
    <x v="55"/>
    <n v="1"/>
  </r>
  <r>
    <x v="4"/>
    <x v="56"/>
    <n v="1"/>
  </r>
  <r>
    <x v="4"/>
    <x v="75"/>
    <n v="1"/>
  </r>
  <r>
    <x v="4"/>
    <x v="57"/>
    <n v="2"/>
  </r>
  <r>
    <x v="5"/>
    <x v="1"/>
    <n v="3"/>
  </r>
  <r>
    <x v="5"/>
    <x v="4"/>
    <n v="1"/>
  </r>
  <r>
    <x v="5"/>
    <x v="11"/>
    <n v="1"/>
  </r>
  <r>
    <x v="5"/>
    <x v="12"/>
    <n v="1"/>
  </r>
  <r>
    <x v="5"/>
    <x v="58"/>
    <n v="3"/>
  </r>
  <r>
    <x v="5"/>
    <x v="59"/>
    <n v="3"/>
  </r>
  <r>
    <x v="5"/>
    <x v="18"/>
    <n v="3"/>
  </r>
  <r>
    <x v="5"/>
    <x v="22"/>
    <n v="1"/>
  </r>
  <r>
    <x v="5"/>
    <x v="24"/>
    <n v="1"/>
  </r>
  <r>
    <x v="5"/>
    <x v="25"/>
    <n v="1"/>
  </r>
  <r>
    <x v="5"/>
    <x v="26"/>
    <n v="2"/>
  </r>
  <r>
    <x v="5"/>
    <x v="67"/>
    <n v="1"/>
  </r>
  <r>
    <x v="5"/>
    <x v="27"/>
    <n v="1"/>
  </r>
  <r>
    <x v="5"/>
    <x v="29"/>
    <n v="2"/>
  </r>
  <r>
    <x v="5"/>
    <x v="32"/>
    <n v="2"/>
  </r>
  <r>
    <x v="5"/>
    <x v="33"/>
    <n v="1"/>
  </r>
  <r>
    <x v="5"/>
    <x v="34"/>
    <n v="3"/>
  </r>
  <r>
    <x v="5"/>
    <x v="35"/>
    <n v="1"/>
  </r>
  <r>
    <x v="5"/>
    <x v="38"/>
    <n v="4"/>
  </r>
  <r>
    <x v="5"/>
    <x v="39"/>
    <n v="2"/>
  </r>
  <r>
    <x v="5"/>
    <x v="60"/>
    <n v="4"/>
  </r>
  <r>
    <x v="5"/>
    <x v="61"/>
    <n v="3"/>
  </r>
  <r>
    <x v="5"/>
    <x v="70"/>
    <n v="2"/>
  </r>
  <r>
    <x v="5"/>
    <x v="43"/>
    <n v="1"/>
  </r>
  <r>
    <x v="5"/>
    <x v="45"/>
    <n v="1"/>
  </r>
  <r>
    <x v="5"/>
    <x v="49"/>
    <n v="1"/>
  </r>
  <r>
    <x v="5"/>
    <x v="53"/>
    <n v="1"/>
  </r>
  <r>
    <x v="5"/>
    <x v="62"/>
    <n v="1"/>
  </r>
  <r>
    <x v="6"/>
    <x v="84"/>
    <n v="1"/>
  </r>
  <r>
    <x v="6"/>
    <x v="0"/>
    <n v="2"/>
  </r>
  <r>
    <x v="6"/>
    <x v="1"/>
    <n v="2"/>
  </r>
  <r>
    <x v="6"/>
    <x v="2"/>
    <n v="1"/>
  </r>
  <r>
    <x v="6"/>
    <x v="64"/>
    <n v="4"/>
  </r>
  <r>
    <x v="6"/>
    <x v="3"/>
    <n v="1"/>
  </r>
  <r>
    <x v="6"/>
    <x v="4"/>
    <n v="5"/>
  </r>
  <r>
    <x v="6"/>
    <x v="5"/>
    <n v="4"/>
  </r>
  <r>
    <x v="6"/>
    <x v="85"/>
    <n v="1"/>
  </r>
  <r>
    <x v="6"/>
    <x v="6"/>
    <n v="3"/>
  </r>
  <r>
    <x v="6"/>
    <x v="86"/>
    <n v="2"/>
  </r>
  <r>
    <x v="6"/>
    <x v="87"/>
    <n v="1"/>
  </r>
  <r>
    <x v="6"/>
    <x v="88"/>
    <n v="1"/>
  </r>
  <r>
    <x v="6"/>
    <x v="89"/>
    <n v="1"/>
  </r>
  <r>
    <x v="6"/>
    <x v="90"/>
    <n v="2"/>
  </r>
  <r>
    <x v="6"/>
    <x v="9"/>
    <n v="2"/>
  </r>
  <r>
    <x v="6"/>
    <x v="10"/>
    <n v="4"/>
  </r>
  <r>
    <x v="6"/>
    <x v="11"/>
    <n v="1"/>
  </r>
  <r>
    <x v="6"/>
    <x v="12"/>
    <n v="4"/>
  </r>
  <r>
    <x v="6"/>
    <x v="58"/>
    <n v="6"/>
  </r>
  <r>
    <x v="6"/>
    <x v="13"/>
    <n v="3"/>
  </r>
  <r>
    <x v="6"/>
    <x v="65"/>
    <n v="1"/>
  </r>
  <r>
    <x v="6"/>
    <x v="91"/>
    <n v="1"/>
  </r>
  <r>
    <x v="6"/>
    <x v="17"/>
    <n v="1"/>
  </r>
  <r>
    <x v="6"/>
    <x v="66"/>
    <n v="1"/>
  </r>
  <r>
    <x v="6"/>
    <x v="18"/>
    <n v="6"/>
  </r>
  <r>
    <x v="6"/>
    <x v="20"/>
    <n v="1"/>
  </r>
  <r>
    <x v="6"/>
    <x v="23"/>
    <n v="1"/>
  </r>
  <r>
    <x v="6"/>
    <x v="25"/>
    <n v="2"/>
  </r>
  <r>
    <x v="6"/>
    <x v="26"/>
    <n v="1"/>
  </r>
  <r>
    <x v="6"/>
    <x v="28"/>
    <n v="3"/>
  </r>
  <r>
    <x v="6"/>
    <x v="39"/>
    <n v="3"/>
  </r>
  <r>
    <x v="6"/>
    <x v="61"/>
    <n v="11"/>
  </r>
  <r>
    <x v="6"/>
    <x v="79"/>
    <n v="1"/>
  </r>
  <r>
    <x v="6"/>
    <x v="69"/>
    <n v="8"/>
  </r>
  <r>
    <x v="6"/>
    <x v="42"/>
    <n v="7"/>
  </r>
  <r>
    <x v="6"/>
    <x v="43"/>
    <n v="3"/>
  </r>
  <r>
    <x v="6"/>
    <x v="44"/>
    <n v="11"/>
  </r>
  <r>
    <x v="6"/>
    <x v="45"/>
    <n v="1"/>
  </r>
  <r>
    <x v="6"/>
    <x v="49"/>
    <n v="1"/>
  </r>
  <r>
    <x v="6"/>
    <x v="50"/>
    <n v="1"/>
  </r>
  <r>
    <x v="6"/>
    <x v="51"/>
    <n v="2"/>
  </r>
  <r>
    <x v="6"/>
    <x v="52"/>
    <n v="2"/>
  </r>
  <r>
    <x v="6"/>
    <x v="82"/>
    <n v="1"/>
  </r>
  <r>
    <x v="6"/>
    <x v="53"/>
    <n v="5"/>
  </r>
  <r>
    <x v="6"/>
    <x v="54"/>
    <n v="1"/>
  </r>
  <r>
    <x v="6"/>
    <x v="56"/>
    <n v="1"/>
  </r>
  <r>
    <x v="6"/>
    <x v="76"/>
    <n v="1"/>
  </r>
  <r>
    <x v="7"/>
    <x v="0"/>
    <n v="3"/>
  </r>
  <r>
    <x v="7"/>
    <x v="1"/>
    <n v="6"/>
  </r>
  <r>
    <x v="7"/>
    <x v="92"/>
    <n v="1"/>
  </r>
  <r>
    <x v="7"/>
    <x v="93"/>
    <n v="1"/>
  </r>
  <r>
    <x v="7"/>
    <x v="2"/>
    <n v="1"/>
  </r>
  <r>
    <x v="7"/>
    <x v="64"/>
    <n v="1"/>
  </r>
  <r>
    <x v="7"/>
    <x v="3"/>
    <n v="3"/>
  </r>
  <r>
    <x v="7"/>
    <x v="5"/>
    <n v="2"/>
  </r>
  <r>
    <x v="7"/>
    <x v="6"/>
    <n v="2"/>
  </r>
  <r>
    <x v="7"/>
    <x v="90"/>
    <n v="9"/>
  </r>
  <r>
    <x v="7"/>
    <x v="94"/>
    <n v="2"/>
  </r>
  <r>
    <x v="7"/>
    <x v="9"/>
    <n v="2"/>
  </r>
  <r>
    <x v="7"/>
    <x v="10"/>
    <n v="4"/>
  </r>
  <r>
    <x v="7"/>
    <x v="58"/>
    <n v="7"/>
  </r>
  <r>
    <x v="7"/>
    <x v="13"/>
    <n v="1"/>
  </r>
  <r>
    <x v="7"/>
    <x v="91"/>
    <n v="1"/>
  </r>
  <r>
    <x v="7"/>
    <x v="16"/>
    <n v="2"/>
  </r>
  <r>
    <x v="7"/>
    <x v="17"/>
    <n v="2"/>
  </r>
  <r>
    <x v="7"/>
    <x v="66"/>
    <n v="1"/>
  </r>
  <r>
    <x v="7"/>
    <x v="18"/>
    <n v="6"/>
  </r>
  <r>
    <x v="7"/>
    <x v="19"/>
    <n v="2"/>
  </r>
  <r>
    <x v="7"/>
    <x v="20"/>
    <n v="4"/>
  </r>
  <r>
    <x v="7"/>
    <x v="21"/>
    <n v="1"/>
  </r>
  <r>
    <x v="7"/>
    <x v="22"/>
    <n v="2"/>
  </r>
  <r>
    <x v="7"/>
    <x v="24"/>
    <n v="2"/>
  </r>
  <r>
    <x v="7"/>
    <x v="25"/>
    <n v="1"/>
  </r>
  <r>
    <x v="7"/>
    <x v="26"/>
    <n v="2"/>
  </r>
  <r>
    <x v="7"/>
    <x v="27"/>
    <n v="1"/>
  </r>
  <r>
    <x v="7"/>
    <x v="28"/>
    <n v="2"/>
  </r>
  <r>
    <x v="7"/>
    <x v="95"/>
    <n v="2"/>
  </r>
  <r>
    <x v="7"/>
    <x v="29"/>
    <n v="2"/>
  </r>
  <r>
    <x v="7"/>
    <x v="96"/>
    <n v="1"/>
  </r>
  <r>
    <x v="7"/>
    <x v="30"/>
    <n v="2"/>
  </r>
  <r>
    <x v="7"/>
    <x v="31"/>
    <n v="2"/>
  </r>
  <r>
    <x v="7"/>
    <x v="32"/>
    <n v="3"/>
  </r>
  <r>
    <x v="7"/>
    <x v="33"/>
    <n v="1"/>
  </r>
  <r>
    <x v="7"/>
    <x v="34"/>
    <n v="4"/>
  </r>
  <r>
    <x v="7"/>
    <x v="97"/>
    <n v="1"/>
  </r>
  <r>
    <x v="7"/>
    <x v="35"/>
    <n v="4"/>
  </r>
  <r>
    <x v="7"/>
    <x v="37"/>
    <n v="2"/>
  </r>
  <r>
    <x v="7"/>
    <x v="38"/>
    <n v="4"/>
  </r>
  <r>
    <x v="7"/>
    <x v="39"/>
    <n v="4"/>
  </r>
  <r>
    <x v="7"/>
    <x v="40"/>
    <n v="1"/>
  </r>
  <r>
    <x v="7"/>
    <x v="60"/>
    <n v="4"/>
  </r>
  <r>
    <x v="7"/>
    <x v="61"/>
    <n v="1"/>
  </r>
  <r>
    <x v="7"/>
    <x v="41"/>
    <n v="1"/>
  </r>
  <r>
    <x v="7"/>
    <x v="69"/>
    <n v="3"/>
  </r>
  <r>
    <x v="7"/>
    <x v="42"/>
    <n v="2"/>
  </r>
  <r>
    <x v="7"/>
    <x v="43"/>
    <n v="4"/>
  </r>
  <r>
    <x v="7"/>
    <x v="44"/>
    <n v="5"/>
  </r>
  <r>
    <x v="7"/>
    <x v="45"/>
    <n v="9"/>
  </r>
  <r>
    <x v="7"/>
    <x v="46"/>
    <n v="1"/>
  </r>
  <r>
    <x v="7"/>
    <x v="48"/>
    <n v="1"/>
  </r>
  <r>
    <x v="7"/>
    <x v="71"/>
    <n v="7"/>
  </r>
  <r>
    <x v="7"/>
    <x v="72"/>
    <n v="7"/>
  </r>
  <r>
    <x v="7"/>
    <x v="49"/>
    <n v="2"/>
  </r>
  <r>
    <x v="7"/>
    <x v="50"/>
    <n v="1"/>
  </r>
  <r>
    <x v="7"/>
    <x v="51"/>
    <n v="2"/>
  </r>
  <r>
    <x v="7"/>
    <x v="73"/>
    <n v="1"/>
  </r>
  <r>
    <x v="7"/>
    <x v="52"/>
    <n v="4"/>
  </r>
  <r>
    <x v="7"/>
    <x v="81"/>
    <n v="1"/>
  </r>
  <r>
    <x v="7"/>
    <x v="74"/>
    <n v="1"/>
  </r>
  <r>
    <x v="7"/>
    <x v="53"/>
    <n v="2"/>
  </r>
  <r>
    <x v="7"/>
    <x v="54"/>
    <n v="8"/>
  </r>
  <r>
    <x v="7"/>
    <x v="55"/>
    <n v="2"/>
  </r>
  <r>
    <x v="7"/>
    <x v="76"/>
    <n v="4"/>
  </r>
  <r>
    <x v="7"/>
    <x v="98"/>
    <n v="1"/>
  </r>
  <r>
    <x v="7"/>
    <x v="57"/>
    <n v="2"/>
  </r>
  <r>
    <x v="8"/>
    <x v="1"/>
    <n v="3"/>
  </r>
  <r>
    <x v="8"/>
    <x v="4"/>
    <n v="1"/>
  </r>
  <r>
    <x v="8"/>
    <x v="5"/>
    <n v="1"/>
  </r>
  <r>
    <x v="8"/>
    <x v="10"/>
    <n v="1"/>
  </r>
  <r>
    <x v="8"/>
    <x v="12"/>
    <n v="1"/>
  </r>
  <r>
    <x v="8"/>
    <x v="58"/>
    <n v="3"/>
  </r>
  <r>
    <x v="8"/>
    <x v="13"/>
    <n v="1"/>
  </r>
  <r>
    <x v="8"/>
    <x v="65"/>
    <n v="1"/>
  </r>
  <r>
    <x v="8"/>
    <x v="59"/>
    <n v="2"/>
  </r>
  <r>
    <x v="8"/>
    <x v="18"/>
    <n v="2"/>
  </r>
  <r>
    <x v="8"/>
    <x v="22"/>
    <n v="1"/>
  </r>
  <r>
    <x v="8"/>
    <x v="23"/>
    <n v="2"/>
  </r>
  <r>
    <x v="8"/>
    <x v="25"/>
    <n v="2"/>
  </r>
  <r>
    <x v="8"/>
    <x v="27"/>
    <n v="1"/>
  </r>
  <r>
    <x v="8"/>
    <x v="29"/>
    <n v="2"/>
  </r>
  <r>
    <x v="8"/>
    <x v="30"/>
    <n v="1"/>
  </r>
  <r>
    <x v="8"/>
    <x v="31"/>
    <n v="1"/>
  </r>
  <r>
    <x v="8"/>
    <x v="32"/>
    <n v="1"/>
  </r>
  <r>
    <x v="8"/>
    <x v="68"/>
    <n v="1"/>
  </r>
  <r>
    <x v="8"/>
    <x v="33"/>
    <n v="1"/>
  </r>
  <r>
    <x v="8"/>
    <x v="34"/>
    <n v="2"/>
  </r>
  <r>
    <x v="8"/>
    <x v="35"/>
    <n v="5"/>
  </r>
  <r>
    <x v="8"/>
    <x v="36"/>
    <n v="2"/>
  </r>
  <r>
    <x v="8"/>
    <x v="38"/>
    <n v="4"/>
  </r>
  <r>
    <x v="8"/>
    <x v="39"/>
    <n v="2"/>
  </r>
  <r>
    <x v="8"/>
    <x v="61"/>
    <n v="6"/>
  </r>
  <r>
    <x v="8"/>
    <x v="70"/>
    <n v="3"/>
  </r>
  <r>
    <x v="8"/>
    <x v="43"/>
    <n v="2"/>
  </r>
  <r>
    <x v="8"/>
    <x v="45"/>
    <n v="1"/>
  </r>
  <r>
    <x v="8"/>
    <x v="49"/>
    <n v="1"/>
  </r>
  <r>
    <x v="8"/>
    <x v="74"/>
    <n v="1"/>
  </r>
  <r>
    <x v="8"/>
    <x v="82"/>
    <n v="4"/>
  </r>
  <r>
    <x v="8"/>
    <x v="53"/>
    <n v="1"/>
  </r>
  <r>
    <x v="8"/>
    <x v="54"/>
    <n v="7"/>
  </r>
  <r>
    <x v="8"/>
    <x v="56"/>
    <n v="3"/>
  </r>
  <r>
    <x v="8"/>
    <x v="62"/>
    <n v="5"/>
  </r>
  <r>
    <x v="9"/>
    <x v="0"/>
    <n v="1"/>
  </r>
  <r>
    <x v="9"/>
    <x v="1"/>
    <n v="4"/>
  </r>
  <r>
    <x v="9"/>
    <x v="4"/>
    <n v="1"/>
  </r>
  <r>
    <x v="9"/>
    <x v="5"/>
    <n v="1"/>
  </r>
  <r>
    <x v="9"/>
    <x v="9"/>
    <n v="1"/>
  </r>
  <r>
    <x v="9"/>
    <x v="10"/>
    <n v="2"/>
  </r>
  <r>
    <x v="9"/>
    <x v="11"/>
    <n v="2"/>
  </r>
  <r>
    <x v="9"/>
    <x v="12"/>
    <n v="2"/>
  </r>
  <r>
    <x v="9"/>
    <x v="58"/>
    <n v="2"/>
  </r>
  <r>
    <x v="9"/>
    <x v="13"/>
    <n v="1"/>
  </r>
  <r>
    <x v="9"/>
    <x v="65"/>
    <n v="3"/>
  </r>
  <r>
    <x v="9"/>
    <x v="16"/>
    <n v="3"/>
  </r>
  <r>
    <x v="9"/>
    <x v="59"/>
    <n v="4"/>
  </r>
  <r>
    <x v="9"/>
    <x v="66"/>
    <n v="1"/>
  </r>
  <r>
    <x v="9"/>
    <x v="18"/>
    <n v="3"/>
  </r>
  <r>
    <x v="9"/>
    <x v="21"/>
    <n v="1"/>
  </r>
  <r>
    <x v="9"/>
    <x v="23"/>
    <n v="1"/>
  </r>
  <r>
    <x v="9"/>
    <x v="24"/>
    <n v="1"/>
  </r>
  <r>
    <x v="9"/>
    <x v="25"/>
    <n v="3"/>
  </r>
  <r>
    <x v="9"/>
    <x v="26"/>
    <n v="1"/>
  </r>
  <r>
    <x v="9"/>
    <x v="99"/>
    <n v="1"/>
  </r>
  <r>
    <x v="9"/>
    <x v="67"/>
    <n v="2"/>
  </r>
  <r>
    <x v="9"/>
    <x v="27"/>
    <n v="1"/>
  </r>
  <r>
    <x v="9"/>
    <x v="28"/>
    <n v="2"/>
  </r>
  <r>
    <x v="9"/>
    <x v="29"/>
    <n v="5"/>
  </r>
  <r>
    <x v="9"/>
    <x v="31"/>
    <n v="1"/>
  </r>
  <r>
    <x v="9"/>
    <x v="32"/>
    <n v="2"/>
  </r>
  <r>
    <x v="9"/>
    <x v="33"/>
    <n v="1"/>
  </r>
  <r>
    <x v="9"/>
    <x v="34"/>
    <n v="3"/>
  </r>
  <r>
    <x v="9"/>
    <x v="35"/>
    <n v="4"/>
  </r>
  <r>
    <x v="9"/>
    <x v="38"/>
    <n v="5"/>
  </r>
  <r>
    <x v="9"/>
    <x v="39"/>
    <n v="3"/>
  </r>
  <r>
    <x v="9"/>
    <x v="60"/>
    <n v="7"/>
  </r>
  <r>
    <x v="9"/>
    <x v="61"/>
    <n v="7"/>
  </r>
  <r>
    <x v="9"/>
    <x v="69"/>
    <n v="2"/>
  </r>
  <r>
    <x v="9"/>
    <x v="42"/>
    <n v="1"/>
  </r>
  <r>
    <x v="9"/>
    <x v="70"/>
    <n v="6"/>
  </r>
  <r>
    <x v="9"/>
    <x v="43"/>
    <n v="2"/>
  </r>
  <r>
    <x v="9"/>
    <x v="45"/>
    <n v="1"/>
  </r>
  <r>
    <x v="9"/>
    <x v="80"/>
    <n v="5"/>
  </r>
  <r>
    <x v="9"/>
    <x v="49"/>
    <n v="1"/>
  </r>
  <r>
    <x v="9"/>
    <x v="50"/>
    <n v="1"/>
  </r>
  <r>
    <x v="9"/>
    <x v="73"/>
    <n v="1"/>
  </r>
  <r>
    <x v="9"/>
    <x v="52"/>
    <n v="2"/>
  </r>
  <r>
    <x v="10"/>
    <x v="1"/>
    <n v="2"/>
  </r>
  <r>
    <x v="10"/>
    <x v="12"/>
    <n v="1"/>
  </r>
  <r>
    <x v="10"/>
    <x v="58"/>
    <n v="2"/>
  </r>
  <r>
    <x v="10"/>
    <x v="59"/>
    <n v="1"/>
  </r>
  <r>
    <x v="10"/>
    <x v="18"/>
    <n v="2"/>
  </r>
  <r>
    <x v="10"/>
    <x v="19"/>
    <n v="2"/>
  </r>
  <r>
    <x v="10"/>
    <x v="21"/>
    <n v="1"/>
  </r>
  <r>
    <x v="10"/>
    <x v="22"/>
    <n v="1"/>
  </r>
  <r>
    <x v="10"/>
    <x v="24"/>
    <n v="1"/>
  </r>
  <r>
    <x v="10"/>
    <x v="25"/>
    <n v="1"/>
  </r>
  <r>
    <x v="10"/>
    <x v="28"/>
    <n v="1"/>
  </r>
  <r>
    <x v="10"/>
    <x v="29"/>
    <n v="3"/>
  </r>
  <r>
    <x v="10"/>
    <x v="30"/>
    <n v="1"/>
  </r>
  <r>
    <x v="10"/>
    <x v="32"/>
    <n v="1"/>
  </r>
  <r>
    <x v="10"/>
    <x v="33"/>
    <n v="1"/>
  </r>
  <r>
    <x v="10"/>
    <x v="34"/>
    <n v="2"/>
  </r>
  <r>
    <x v="10"/>
    <x v="35"/>
    <n v="1"/>
  </r>
  <r>
    <x v="10"/>
    <x v="36"/>
    <n v="1"/>
  </r>
  <r>
    <x v="10"/>
    <x v="38"/>
    <n v="2"/>
  </r>
  <r>
    <x v="10"/>
    <x v="39"/>
    <n v="1"/>
  </r>
  <r>
    <x v="10"/>
    <x v="60"/>
    <n v="5"/>
  </r>
  <r>
    <x v="10"/>
    <x v="45"/>
    <n v="3"/>
  </r>
  <r>
    <x v="10"/>
    <x v="62"/>
    <n v="1"/>
  </r>
  <r>
    <x v="11"/>
    <x v="1"/>
    <n v="1"/>
  </r>
  <r>
    <x v="11"/>
    <x v="5"/>
    <n v="1"/>
  </r>
  <r>
    <x v="11"/>
    <x v="11"/>
    <n v="1"/>
  </r>
  <r>
    <x v="11"/>
    <x v="58"/>
    <n v="1"/>
  </r>
  <r>
    <x v="11"/>
    <x v="13"/>
    <n v="1"/>
  </r>
  <r>
    <x v="11"/>
    <x v="59"/>
    <n v="1"/>
  </r>
  <r>
    <x v="11"/>
    <x v="18"/>
    <n v="2"/>
  </r>
  <r>
    <x v="11"/>
    <x v="29"/>
    <n v="1"/>
  </r>
  <r>
    <x v="11"/>
    <x v="32"/>
    <n v="1"/>
  </r>
  <r>
    <x v="11"/>
    <x v="34"/>
    <n v="1"/>
  </r>
  <r>
    <x v="11"/>
    <x v="35"/>
    <n v="1"/>
  </r>
  <r>
    <x v="11"/>
    <x v="36"/>
    <n v="1"/>
  </r>
  <r>
    <x v="11"/>
    <x v="38"/>
    <n v="2"/>
  </r>
  <r>
    <x v="11"/>
    <x v="39"/>
    <n v="1"/>
  </r>
  <r>
    <x v="11"/>
    <x v="60"/>
    <n v="2"/>
  </r>
  <r>
    <x v="11"/>
    <x v="61"/>
    <n v="2"/>
  </r>
  <r>
    <x v="11"/>
    <x v="70"/>
    <n v="1"/>
  </r>
  <r>
    <x v="11"/>
    <x v="43"/>
    <n v="1"/>
  </r>
  <r>
    <x v="11"/>
    <x v="45"/>
    <n v="1"/>
  </r>
  <r>
    <x v="11"/>
    <x v="49"/>
    <n v="1"/>
  </r>
  <r>
    <x v="12"/>
    <x v="1"/>
    <n v="4"/>
  </r>
  <r>
    <x v="12"/>
    <x v="63"/>
    <n v="1"/>
  </r>
  <r>
    <x v="12"/>
    <x v="93"/>
    <n v="1"/>
  </r>
  <r>
    <x v="12"/>
    <x v="2"/>
    <n v="2"/>
  </r>
  <r>
    <x v="12"/>
    <x v="64"/>
    <n v="2"/>
  </r>
  <r>
    <x v="12"/>
    <x v="3"/>
    <n v="2"/>
  </r>
  <r>
    <x v="12"/>
    <x v="4"/>
    <n v="1"/>
  </r>
  <r>
    <x v="12"/>
    <x v="5"/>
    <n v="2"/>
  </r>
  <r>
    <x v="12"/>
    <x v="85"/>
    <n v="1"/>
  </r>
  <r>
    <x v="12"/>
    <x v="6"/>
    <n v="3"/>
  </r>
  <r>
    <x v="12"/>
    <x v="88"/>
    <n v="2"/>
  </r>
  <r>
    <x v="12"/>
    <x v="89"/>
    <n v="2"/>
  </r>
  <r>
    <x v="12"/>
    <x v="100"/>
    <n v="1"/>
  </r>
  <r>
    <x v="12"/>
    <x v="7"/>
    <n v="2"/>
  </r>
  <r>
    <x v="12"/>
    <x v="90"/>
    <n v="4"/>
  </r>
  <r>
    <x v="12"/>
    <x v="9"/>
    <n v="3"/>
  </r>
  <r>
    <x v="12"/>
    <x v="10"/>
    <n v="2"/>
  </r>
  <r>
    <x v="12"/>
    <x v="12"/>
    <n v="10"/>
  </r>
  <r>
    <x v="12"/>
    <x v="58"/>
    <n v="6"/>
  </r>
  <r>
    <x v="12"/>
    <x v="13"/>
    <n v="1"/>
  </r>
  <r>
    <x v="12"/>
    <x v="65"/>
    <n v="1"/>
  </r>
  <r>
    <x v="12"/>
    <x v="16"/>
    <n v="2"/>
  </r>
  <r>
    <x v="12"/>
    <x v="59"/>
    <n v="4"/>
  </r>
  <r>
    <x v="12"/>
    <x v="18"/>
    <n v="9"/>
  </r>
  <r>
    <x v="12"/>
    <x v="21"/>
    <n v="2"/>
  </r>
  <r>
    <x v="12"/>
    <x v="22"/>
    <n v="7"/>
  </r>
  <r>
    <x v="12"/>
    <x v="23"/>
    <n v="4"/>
  </r>
  <r>
    <x v="12"/>
    <x v="24"/>
    <n v="1"/>
  </r>
  <r>
    <x v="12"/>
    <x v="25"/>
    <n v="3"/>
  </r>
  <r>
    <x v="12"/>
    <x v="26"/>
    <n v="2"/>
  </r>
  <r>
    <x v="12"/>
    <x v="67"/>
    <n v="3"/>
  </r>
  <r>
    <x v="12"/>
    <x v="27"/>
    <n v="1"/>
  </r>
  <r>
    <x v="12"/>
    <x v="28"/>
    <n v="2"/>
  </r>
  <r>
    <x v="12"/>
    <x v="29"/>
    <n v="4"/>
  </r>
  <r>
    <x v="12"/>
    <x v="96"/>
    <n v="1"/>
  </r>
  <r>
    <x v="12"/>
    <x v="31"/>
    <n v="1"/>
  </r>
  <r>
    <x v="12"/>
    <x v="32"/>
    <n v="1"/>
  </r>
  <r>
    <x v="12"/>
    <x v="68"/>
    <n v="4"/>
  </r>
  <r>
    <x v="12"/>
    <x v="33"/>
    <n v="4"/>
  </r>
  <r>
    <x v="12"/>
    <x v="34"/>
    <n v="4"/>
  </r>
  <r>
    <x v="12"/>
    <x v="35"/>
    <n v="11"/>
  </r>
  <r>
    <x v="12"/>
    <x v="36"/>
    <n v="4"/>
  </r>
  <r>
    <x v="12"/>
    <x v="38"/>
    <n v="11"/>
  </r>
  <r>
    <x v="12"/>
    <x v="39"/>
    <n v="6"/>
  </r>
  <r>
    <x v="12"/>
    <x v="40"/>
    <n v="1"/>
  </r>
  <r>
    <x v="12"/>
    <x v="60"/>
    <n v="9"/>
  </r>
  <r>
    <x v="12"/>
    <x v="61"/>
    <n v="12"/>
  </r>
  <r>
    <x v="12"/>
    <x v="41"/>
    <n v="1"/>
  </r>
  <r>
    <x v="12"/>
    <x v="69"/>
    <n v="7"/>
  </r>
  <r>
    <x v="12"/>
    <x v="42"/>
    <n v="3"/>
  </r>
  <r>
    <x v="12"/>
    <x v="43"/>
    <n v="8"/>
  </r>
  <r>
    <x v="12"/>
    <x v="44"/>
    <n v="7"/>
  </r>
  <r>
    <x v="12"/>
    <x v="45"/>
    <n v="2"/>
  </r>
  <r>
    <x v="12"/>
    <x v="47"/>
    <n v="4"/>
  </r>
  <r>
    <x v="12"/>
    <x v="49"/>
    <n v="2"/>
  </r>
  <r>
    <x v="12"/>
    <x v="50"/>
    <n v="2"/>
  </r>
  <r>
    <x v="12"/>
    <x v="51"/>
    <n v="1"/>
  </r>
  <r>
    <x v="12"/>
    <x v="73"/>
    <n v="1"/>
  </r>
  <r>
    <x v="12"/>
    <x v="52"/>
    <n v="8"/>
  </r>
  <r>
    <x v="12"/>
    <x v="53"/>
    <n v="3"/>
  </r>
  <r>
    <x v="12"/>
    <x v="54"/>
    <n v="3"/>
  </r>
  <r>
    <x v="12"/>
    <x v="76"/>
    <n v="1"/>
  </r>
  <r>
    <x v="12"/>
    <x v="77"/>
    <n v="1"/>
  </r>
  <r>
    <x v="13"/>
    <x v="1"/>
    <n v="3"/>
  </r>
  <r>
    <x v="13"/>
    <x v="4"/>
    <n v="1"/>
  </r>
  <r>
    <x v="13"/>
    <x v="5"/>
    <n v="2"/>
  </r>
  <r>
    <x v="13"/>
    <x v="10"/>
    <n v="1"/>
  </r>
  <r>
    <x v="13"/>
    <x v="11"/>
    <n v="2"/>
  </r>
  <r>
    <x v="13"/>
    <x v="12"/>
    <n v="6"/>
  </r>
  <r>
    <x v="13"/>
    <x v="58"/>
    <n v="1"/>
  </r>
  <r>
    <x v="13"/>
    <x v="13"/>
    <n v="1"/>
  </r>
  <r>
    <x v="13"/>
    <x v="59"/>
    <n v="4"/>
  </r>
  <r>
    <x v="13"/>
    <x v="18"/>
    <n v="6"/>
  </r>
  <r>
    <x v="13"/>
    <x v="19"/>
    <n v="6"/>
  </r>
  <r>
    <x v="13"/>
    <x v="21"/>
    <n v="1"/>
  </r>
  <r>
    <x v="13"/>
    <x v="22"/>
    <n v="3"/>
  </r>
  <r>
    <x v="13"/>
    <x v="26"/>
    <n v="1"/>
  </r>
  <r>
    <x v="13"/>
    <x v="99"/>
    <n v="1"/>
  </r>
  <r>
    <x v="13"/>
    <x v="67"/>
    <n v="1"/>
  </r>
  <r>
    <x v="13"/>
    <x v="27"/>
    <n v="1"/>
  </r>
  <r>
    <x v="13"/>
    <x v="28"/>
    <n v="1"/>
  </r>
  <r>
    <x v="13"/>
    <x v="29"/>
    <n v="8"/>
  </r>
  <r>
    <x v="13"/>
    <x v="30"/>
    <n v="1"/>
  </r>
  <r>
    <x v="13"/>
    <x v="31"/>
    <n v="1"/>
  </r>
  <r>
    <x v="13"/>
    <x v="32"/>
    <n v="2"/>
  </r>
  <r>
    <x v="13"/>
    <x v="68"/>
    <n v="1"/>
  </r>
  <r>
    <x v="13"/>
    <x v="33"/>
    <n v="2"/>
  </r>
  <r>
    <x v="13"/>
    <x v="34"/>
    <n v="2"/>
  </r>
  <r>
    <x v="13"/>
    <x v="35"/>
    <n v="2"/>
  </r>
  <r>
    <x v="13"/>
    <x v="38"/>
    <n v="5"/>
  </r>
  <r>
    <x v="13"/>
    <x v="39"/>
    <n v="3"/>
  </r>
  <r>
    <x v="13"/>
    <x v="60"/>
    <n v="3"/>
  </r>
  <r>
    <x v="13"/>
    <x v="61"/>
    <n v="3"/>
  </r>
  <r>
    <x v="13"/>
    <x v="43"/>
    <n v="1"/>
  </r>
  <r>
    <x v="13"/>
    <x v="45"/>
    <n v="1"/>
  </r>
  <r>
    <x v="13"/>
    <x v="49"/>
    <n v="1"/>
  </r>
  <r>
    <x v="13"/>
    <x v="73"/>
    <n v="1"/>
  </r>
  <r>
    <x v="13"/>
    <x v="74"/>
    <n v="2"/>
  </r>
  <r>
    <x v="13"/>
    <x v="53"/>
    <n v="1"/>
  </r>
  <r>
    <x v="13"/>
    <x v="54"/>
    <n v="7"/>
  </r>
  <r>
    <x v="13"/>
    <x v="55"/>
    <n v="3"/>
  </r>
  <r>
    <x v="14"/>
    <x v="0"/>
    <n v="2"/>
  </r>
  <r>
    <x v="14"/>
    <x v="1"/>
    <n v="2"/>
  </r>
  <r>
    <x v="14"/>
    <x v="3"/>
    <n v="1"/>
  </r>
  <r>
    <x v="14"/>
    <x v="4"/>
    <n v="1"/>
  </r>
  <r>
    <x v="14"/>
    <x v="5"/>
    <n v="1"/>
  </r>
  <r>
    <x v="14"/>
    <x v="6"/>
    <n v="2"/>
  </r>
  <r>
    <x v="14"/>
    <x v="86"/>
    <n v="1"/>
  </r>
  <r>
    <x v="14"/>
    <x v="87"/>
    <n v="1"/>
  </r>
  <r>
    <x v="14"/>
    <x v="88"/>
    <n v="3"/>
  </r>
  <r>
    <x v="14"/>
    <x v="89"/>
    <n v="1"/>
  </r>
  <r>
    <x v="14"/>
    <x v="101"/>
    <n v="1"/>
  </r>
  <r>
    <x v="14"/>
    <x v="100"/>
    <n v="1"/>
  </r>
  <r>
    <x v="14"/>
    <x v="90"/>
    <n v="2"/>
  </r>
  <r>
    <x v="14"/>
    <x v="94"/>
    <n v="1"/>
  </r>
  <r>
    <x v="14"/>
    <x v="10"/>
    <n v="1"/>
  </r>
  <r>
    <x v="14"/>
    <x v="11"/>
    <n v="1"/>
  </r>
  <r>
    <x v="14"/>
    <x v="14"/>
    <n v="1"/>
  </r>
  <r>
    <x v="14"/>
    <x v="102"/>
    <n v="1"/>
  </r>
  <r>
    <x v="14"/>
    <x v="15"/>
    <n v="1"/>
  </r>
  <r>
    <x v="14"/>
    <x v="65"/>
    <n v="2"/>
  </r>
  <r>
    <x v="14"/>
    <x v="16"/>
    <n v="1"/>
  </r>
  <r>
    <x v="14"/>
    <x v="17"/>
    <n v="5"/>
  </r>
  <r>
    <x v="14"/>
    <x v="66"/>
    <n v="1"/>
  </r>
  <r>
    <x v="14"/>
    <x v="18"/>
    <n v="3"/>
  </r>
  <r>
    <x v="14"/>
    <x v="19"/>
    <n v="4"/>
  </r>
  <r>
    <x v="14"/>
    <x v="20"/>
    <n v="1"/>
  </r>
  <r>
    <x v="14"/>
    <x v="21"/>
    <n v="1"/>
  </r>
  <r>
    <x v="14"/>
    <x v="22"/>
    <n v="2"/>
  </r>
  <r>
    <x v="14"/>
    <x v="23"/>
    <n v="1"/>
  </r>
  <r>
    <x v="14"/>
    <x v="24"/>
    <n v="1"/>
  </r>
  <r>
    <x v="14"/>
    <x v="25"/>
    <n v="1"/>
  </r>
  <r>
    <x v="14"/>
    <x v="26"/>
    <n v="1"/>
  </r>
  <r>
    <x v="14"/>
    <x v="27"/>
    <n v="1"/>
  </r>
  <r>
    <x v="14"/>
    <x v="28"/>
    <n v="1"/>
  </r>
  <r>
    <x v="14"/>
    <x v="95"/>
    <n v="1"/>
  </r>
  <r>
    <x v="14"/>
    <x v="29"/>
    <n v="4"/>
  </r>
  <r>
    <x v="14"/>
    <x v="30"/>
    <n v="2"/>
  </r>
  <r>
    <x v="14"/>
    <x v="31"/>
    <n v="1"/>
  </r>
  <r>
    <x v="14"/>
    <x v="68"/>
    <n v="1"/>
  </r>
  <r>
    <x v="14"/>
    <x v="33"/>
    <n v="1"/>
  </r>
  <r>
    <x v="14"/>
    <x v="34"/>
    <n v="2"/>
  </r>
  <r>
    <x v="14"/>
    <x v="35"/>
    <n v="2"/>
  </r>
  <r>
    <x v="14"/>
    <x v="36"/>
    <n v="1"/>
  </r>
  <r>
    <x v="14"/>
    <x v="38"/>
    <n v="3"/>
  </r>
  <r>
    <x v="14"/>
    <x v="83"/>
    <n v="1"/>
  </r>
  <r>
    <x v="14"/>
    <x v="40"/>
    <n v="3"/>
  </r>
  <r>
    <x v="14"/>
    <x v="60"/>
    <n v="1"/>
  </r>
  <r>
    <x v="14"/>
    <x v="61"/>
    <n v="6"/>
  </r>
  <r>
    <x v="14"/>
    <x v="69"/>
    <n v="1"/>
  </r>
  <r>
    <x v="14"/>
    <x v="42"/>
    <n v="1"/>
  </r>
  <r>
    <x v="14"/>
    <x v="43"/>
    <n v="1"/>
  </r>
  <r>
    <x v="14"/>
    <x v="44"/>
    <n v="4"/>
  </r>
  <r>
    <x v="14"/>
    <x v="45"/>
    <n v="1"/>
  </r>
  <r>
    <x v="14"/>
    <x v="47"/>
    <n v="3"/>
  </r>
  <r>
    <x v="14"/>
    <x v="49"/>
    <n v="1"/>
  </r>
  <r>
    <x v="14"/>
    <x v="50"/>
    <n v="1"/>
  </r>
  <r>
    <x v="14"/>
    <x v="52"/>
    <n v="2"/>
  </r>
  <r>
    <x v="14"/>
    <x v="82"/>
    <n v="1"/>
  </r>
  <r>
    <x v="14"/>
    <x v="54"/>
    <n v="4"/>
  </r>
  <r>
    <x v="14"/>
    <x v="55"/>
    <n v="1"/>
  </r>
  <r>
    <x v="14"/>
    <x v="56"/>
    <n v="1"/>
  </r>
  <r>
    <x v="14"/>
    <x v="76"/>
    <n v="1"/>
  </r>
  <r>
    <x v="14"/>
    <x v="77"/>
    <n v="1"/>
  </r>
  <r>
    <x v="15"/>
    <x v="1"/>
    <n v="12"/>
  </r>
  <r>
    <x v="15"/>
    <x v="93"/>
    <n v="1"/>
  </r>
  <r>
    <x v="15"/>
    <x v="64"/>
    <n v="3"/>
  </r>
  <r>
    <x v="15"/>
    <x v="4"/>
    <n v="3"/>
  </r>
  <r>
    <x v="15"/>
    <x v="5"/>
    <n v="1"/>
  </r>
  <r>
    <x v="15"/>
    <x v="6"/>
    <n v="1"/>
  </r>
  <r>
    <x v="15"/>
    <x v="87"/>
    <n v="2"/>
  </r>
  <r>
    <x v="15"/>
    <x v="89"/>
    <n v="2"/>
  </r>
  <r>
    <x v="15"/>
    <x v="90"/>
    <n v="20"/>
  </r>
  <r>
    <x v="15"/>
    <x v="10"/>
    <n v="1"/>
  </r>
  <r>
    <x v="15"/>
    <x v="12"/>
    <n v="4"/>
  </r>
  <r>
    <x v="15"/>
    <x v="58"/>
    <n v="4"/>
  </r>
  <r>
    <x v="15"/>
    <x v="13"/>
    <n v="1"/>
  </r>
  <r>
    <x v="15"/>
    <x v="65"/>
    <n v="5"/>
  </r>
  <r>
    <x v="15"/>
    <x v="91"/>
    <n v="1"/>
  </r>
  <r>
    <x v="15"/>
    <x v="16"/>
    <n v="3"/>
  </r>
  <r>
    <x v="15"/>
    <x v="59"/>
    <n v="8"/>
  </r>
  <r>
    <x v="15"/>
    <x v="18"/>
    <n v="13"/>
  </r>
  <r>
    <x v="15"/>
    <x v="19"/>
    <n v="1"/>
  </r>
  <r>
    <x v="15"/>
    <x v="22"/>
    <n v="9"/>
  </r>
  <r>
    <x v="15"/>
    <x v="23"/>
    <n v="6"/>
  </r>
  <r>
    <x v="15"/>
    <x v="99"/>
    <n v="1"/>
  </r>
  <r>
    <x v="15"/>
    <x v="67"/>
    <n v="1"/>
  </r>
  <r>
    <x v="15"/>
    <x v="27"/>
    <n v="2"/>
  </r>
  <r>
    <x v="15"/>
    <x v="28"/>
    <n v="1"/>
  </r>
  <r>
    <x v="15"/>
    <x v="95"/>
    <n v="1"/>
  </r>
  <r>
    <x v="15"/>
    <x v="29"/>
    <n v="13"/>
  </r>
  <r>
    <x v="15"/>
    <x v="30"/>
    <n v="2"/>
  </r>
  <r>
    <x v="15"/>
    <x v="31"/>
    <n v="1"/>
  </r>
  <r>
    <x v="15"/>
    <x v="32"/>
    <n v="3"/>
  </r>
  <r>
    <x v="15"/>
    <x v="34"/>
    <n v="2"/>
  </r>
  <r>
    <x v="15"/>
    <x v="35"/>
    <n v="6"/>
  </r>
  <r>
    <x v="15"/>
    <x v="36"/>
    <n v="4"/>
  </r>
  <r>
    <x v="15"/>
    <x v="37"/>
    <n v="2"/>
  </r>
  <r>
    <x v="15"/>
    <x v="38"/>
    <n v="9"/>
  </r>
  <r>
    <x v="15"/>
    <x v="83"/>
    <n v="1"/>
  </r>
  <r>
    <x v="15"/>
    <x v="39"/>
    <n v="5"/>
  </r>
  <r>
    <x v="15"/>
    <x v="40"/>
    <n v="1"/>
  </r>
  <r>
    <x v="15"/>
    <x v="60"/>
    <n v="6"/>
  </r>
  <r>
    <x v="15"/>
    <x v="61"/>
    <n v="8"/>
  </r>
  <r>
    <x v="15"/>
    <x v="69"/>
    <n v="5"/>
  </r>
  <r>
    <x v="15"/>
    <x v="42"/>
    <n v="3"/>
  </r>
  <r>
    <x v="15"/>
    <x v="43"/>
    <n v="1"/>
  </r>
  <r>
    <x v="15"/>
    <x v="44"/>
    <n v="2"/>
  </r>
  <r>
    <x v="15"/>
    <x v="45"/>
    <n v="2"/>
  </r>
  <r>
    <x v="15"/>
    <x v="47"/>
    <n v="3"/>
  </r>
  <r>
    <x v="15"/>
    <x v="49"/>
    <n v="1"/>
  </r>
  <r>
    <x v="15"/>
    <x v="50"/>
    <n v="1"/>
  </r>
  <r>
    <x v="15"/>
    <x v="51"/>
    <n v="1"/>
  </r>
  <r>
    <x v="15"/>
    <x v="81"/>
    <n v="2"/>
  </r>
  <r>
    <x v="15"/>
    <x v="53"/>
    <n v="2"/>
  </r>
  <r>
    <x v="15"/>
    <x v="54"/>
    <n v="5"/>
  </r>
  <r>
    <x v="15"/>
    <x v="55"/>
    <n v="1"/>
  </r>
  <r>
    <x v="15"/>
    <x v="77"/>
    <n v="1"/>
  </r>
  <r>
    <x v="16"/>
    <x v="4"/>
    <n v="3"/>
  </r>
  <r>
    <x v="16"/>
    <x v="5"/>
    <n v="2"/>
  </r>
  <r>
    <x v="16"/>
    <x v="10"/>
    <n v="4"/>
  </r>
  <r>
    <x v="16"/>
    <x v="11"/>
    <n v="1"/>
  </r>
  <r>
    <x v="16"/>
    <x v="12"/>
    <n v="2"/>
  </r>
  <r>
    <x v="16"/>
    <x v="58"/>
    <n v="4"/>
  </r>
  <r>
    <x v="16"/>
    <x v="13"/>
    <n v="2"/>
  </r>
  <r>
    <x v="16"/>
    <x v="65"/>
    <n v="2"/>
  </r>
  <r>
    <x v="16"/>
    <x v="59"/>
    <n v="4"/>
  </r>
  <r>
    <x v="16"/>
    <x v="66"/>
    <n v="1"/>
  </r>
  <r>
    <x v="16"/>
    <x v="18"/>
    <n v="6"/>
  </r>
  <r>
    <x v="16"/>
    <x v="19"/>
    <n v="2"/>
  </r>
  <r>
    <x v="16"/>
    <x v="21"/>
    <n v="2"/>
  </r>
  <r>
    <x v="16"/>
    <x v="22"/>
    <n v="5"/>
  </r>
  <r>
    <x v="16"/>
    <x v="23"/>
    <n v="4"/>
  </r>
  <r>
    <x v="16"/>
    <x v="24"/>
    <n v="2"/>
  </r>
  <r>
    <x v="16"/>
    <x v="25"/>
    <n v="3"/>
  </r>
  <r>
    <x v="16"/>
    <x v="67"/>
    <n v="1"/>
  </r>
  <r>
    <x v="16"/>
    <x v="27"/>
    <n v="2"/>
  </r>
  <r>
    <x v="16"/>
    <x v="28"/>
    <n v="1"/>
  </r>
  <r>
    <x v="16"/>
    <x v="29"/>
    <n v="10"/>
  </r>
  <r>
    <x v="16"/>
    <x v="30"/>
    <n v="1"/>
  </r>
  <r>
    <x v="16"/>
    <x v="31"/>
    <n v="4"/>
  </r>
  <r>
    <x v="16"/>
    <x v="32"/>
    <n v="3"/>
  </r>
  <r>
    <x v="16"/>
    <x v="68"/>
    <n v="1"/>
  </r>
  <r>
    <x v="16"/>
    <x v="33"/>
    <n v="4"/>
  </r>
  <r>
    <x v="16"/>
    <x v="34"/>
    <n v="4"/>
  </r>
  <r>
    <x v="16"/>
    <x v="35"/>
    <n v="3"/>
  </r>
  <r>
    <x v="16"/>
    <x v="36"/>
    <n v="5"/>
  </r>
  <r>
    <x v="16"/>
    <x v="38"/>
    <n v="10"/>
  </r>
  <r>
    <x v="16"/>
    <x v="39"/>
    <n v="4"/>
  </r>
  <r>
    <x v="16"/>
    <x v="60"/>
    <n v="11"/>
  </r>
  <r>
    <x v="16"/>
    <x v="61"/>
    <n v="13"/>
  </r>
  <r>
    <x v="16"/>
    <x v="70"/>
    <n v="4"/>
  </r>
  <r>
    <x v="16"/>
    <x v="43"/>
    <n v="8"/>
  </r>
  <r>
    <x v="16"/>
    <x v="45"/>
    <n v="2"/>
  </r>
  <r>
    <x v="16"/>
    <x v="49"/>
    <n v="1"/>
  </r>
  <r>
    <x v="16"/>
    <x v="73"/>
    <n v="1"/>
  </r>
  <r>
    <x v="16"/>
    <x v="82"/>
    <n v="3"/>
  </r>
  <r>
    <x v="16"/>
    <x v="53"/>
    <n v="6"/>
  </r>
  <r>
    <x v="16"/>
    <x v="54"/>
    <n v="8"/>
  </r>
  <r>
    <x v="16"/>
    <x v="55"/>
    <n v="3"/>
  </r>
  <r>
    <x v="16"/>
    <x v="56"/>
    <n v="2"/>
  </r>
  <r>
    <x v="16"/>
    <x v="62"/>
    <n v="3"/>
  </r>
  <r>
    <x v="17"/>
    <x v="0"/>
    <n v="2"/>
  </r>
  <r>
    <x v="17"/>
    <x v="1"/>
    <n v="3"/>
  </r>
  <r>
    <x v="17"/>
    <x v="87"/>
    <n v="1"/>
  </r>
  <r>
    <x v="17"/>
    <x v="88"/>
    <n v="1"/>
  </r>
  <r>
    <x v="17"/>
    <x v="103"/>
    <n v="3"/>
  </r>
  <r>
    <x v="17"/>
    <x v="89"/>
    <n v="1"/>
  </r>
  <r>
    <x v="17"/>
    <x v="7"/>
    <n v="1"/>
  </r>
  <r>
    <x v="17"/>
    <x v="94"/>
    <n v="2"/>
  </r>
  <r>
    <x v="17"/>
    <x v="104"/>
    <n v="1"/>
  </r>
  <r>
    <x v="17"/>
    <x v="10"/>
    <n v="2"/>
  </r>
  <r>
    <x v="17"/>
    <x v="11"/>
    <n v="1"/>
  </r>
  <r>
    <x v="17"/>
    <x v="12"/>
    <n v="3"/>
  </r>
  <r>
    <x v="17"/>
    <x v="58"/>
    <n v="3"/>
  </r>
  <r>
    <x v="17"/>
    <x v="13"/>
    <n v="1"/>
  </r>
  <r>
    <x v="17"/>
    <x v="15"/>
    <n v="1"/>
  </r>
  <r>
    <x v="17"/>
    <x v="16"/>
    <n v="1"/>
  </r>
  <r>
    <x v="17"/>
    <x v="59"/>
    <n v="8"/>
  </r>
  <r>
    <x v="17"/>
    <x v="18"/>
    <n v="8"/>
  </r>
  <r>
    <x v="17"/>
    <x v="19"/>
    <n v="4"/>
  </r>
  <r>
    <x v="17"/>
    <x v="21"/>
    <n v="1"/>
  </r>
  <r>
    <x v="17"/>
    <x v="22"/>
    <n v="2"/>
  </r>
  <r>
    <x v="17"/>
    <x v="23"/>
    <n v="2"/>
  </r>
  <r>
    <x v="17"/>
    <x v="25"/>
    <n v="2"/>
  </r>
  <r>
    <x v="17"/>
    <x v="26"/>
    <n v="1"/>
  </r>
  <r>
    <x v="17"/>
    <x v="99"/>
    <n v="1"/>
  </r>
  <r>
    <x v="17"/>
    <x v="67"/>
    <n v="1"/>
  </r>
  <r>
    <x v="17"/>
    <x v="29"/>
    <n v="10"/>
  </r>
  <r>
    <x v="17"/>
    <x v="33"/>
    <n v="2"/>
  </r>
  <r>
    <x v="17"/>
    <x v="34"/>
    <n v="3"/>
  </r>
  <r>
    <x v="17"/>
    <x v="35"/>
    <n v="4"/>
  </r>
  <r>
    <x v="17"/>
    <x v="36"/>
    <n v="1"/>
  </r>
  <r>
    <x v="17"/>
    <x v="38"/>
    <n v="10"/>
  </r>
  <r>
    <x v="17"/>
    <x v="39"/>
    <n v="1"/>
  </r>
  <r>
    <x v="17"/>
    <x v="60"/>
    <n v="4"/>
  </r>
  <r>
    <x v="17"/>
    <x v="61"/>
    <n v="5"/>
  </r>
  <r>
    <x v="17"/>
    <x v="79"/>
    <n v="1"/>
  </r>
  <r>
    <x v="17"/>
    <x v="69"/>
    <n v="1"/>
  </r>
  <r>
    <x v="17"/>
    <x v="44"/>
    <n v="5"/>
  </r>
  <r>
    <x v="17"/>
    <x v="45"/>
    <n v="3"/>
  </r>
  <r>
    <x v="17"/>
    <x v="47"/>
    <n v="1"/>
  </r>
  <r>
    <x v="17"/>
    <x v="49"/>
    <n v="1"/>
  </r>
  <r>
    <x v="17"/>
    <x v="50"/>
    <n v="2"/>
  </r>
  <r>
    <x v="17"/>
    <x v="51"/>
    <n v="1"/>
  </r>
  <r>
    <x v="17"/>
    <x v="52"/>
    <n v="1"/>
  </r>
  <r>
    <x v="17"/>
    <x v="82"/>
    <n v="1"/>
  </r>
  <r>
    <x v="17"/>
    <x v="53"/>
    <n v="2"/>
  </r>
  <r>
    <x v="17"/>
    <x v="55"/>
    <n v="1"/>
  </r>
  <r>
    <x v="17"/>
    <x v="56"/>
    <n v="1"/>
  </r>
  <r>
    <x v="17"/>
    <x v="76"/>
    <n v="1"/>
  </r>
  <r>
    <x v="17"/>
    <x v="77"/>
    <n v="2"/>
  </r>
  <r>
    <x v="18"/>
    <x v="1"/>
    <n v="4"/>
  </r>
  <r>
    <x v="18"/>
    <x v="5"/>
    <n v="1"/>
  </r>
  <r>
    <x v="18"/>
    <x v="11"/>
    <n v="1"/>
  </r>
  <r>
    <x v="18"/>
    <x v="58"/>
    <n v="1"/>
  </r>
  <r>
    <x v="18"/>
    <x v="13"/>
    <n v="1"/>
  </r>
  <r>
    <x v="18"/>
    <x v="59"/>
    <n v="3"/>
  </r>
  <r>
    <x v="18"/>
    <x v="18"/>
    <n v="1"/>
  </r>
  <r>
    <x v="18"/>
    <x v="24"/>
    <n v="1"/>
  </r>
  <r>
    <x v="18"/>
    <x v="25"/>
    <n v="2"/>
  </r>
  <r>
    <x v="18"/>
    <x v="26"/>
    <n v="1"/>
  </r>
  <r>
    <x v="18"/>
    <x v="29"/>
    <n v="3"/>
  </r>
  <r>
    <x v="18"/>
    <x v="30"/>
    <n v="1"/>
  </r>
  <r>
    <x v="18"/>
    <x v="68"/>
    <n v="1"/>
  </r>
  <r>
    <x v="18"/>
    <x v="33"/>
    <n v="2"/>
  </r>
  <r>
    <x v="18"/>
    <x v="34"/>
    <n v="2"/>
  </r>
  <r>
    <x v="18"/>
    <x v="35"/>
    <n v="1"/>
  </r>
  <r>
    <x v="18"/>
    <x v="38"/>
    <n v="4"/>
  </r>
  <r>
    <x v="18"/>
    <x v="39"/>
    <n v="1"/>
  </r>
  <r>
    <x v="18"/>
    <x v="60"/>
    <n v="5"/>
  </r>
  <r>
    <x v="18"/>
    <x v="61"/>
    <n v="3"/>
  </r>
  <r>
    <x v="18"/>
    <x v="70"/>
    <n v="1"/>
  </r>
  <r>
    <x v="18"/>
    <x v="43"/>
    <n v="2"/>
  </r>
  <r>
    <x v="18"/>
    <x v="45"/>
    <n v="1"/>
  </r>
  <r>
    <x v="18"/>
    <x v="49"/>
    <n v="1"/>
  </r>
  <r>
    <x v="19"/>
    <x v="0"/>
    <n v="1"/>
  </r>
  <r>
    <x v="19"/>
    <x v="1"/>
    <n v="5"/>
  </r>
  <r>
    <x v="19"/>
    <x v="4"/>
    <n v="2"/>
  </r>
  <r>
    <x v="19"/>
    <x v="5"/>
    <n v="1"/>
  </r>
  <r>
    <x v="19"/>
    <x v="10"/>
    <n v="1"/>
  </r>
  <r>
    <x v="19"/>
    <x v="12"/>
    <n v="4"/>
  </r>
  <r>
    <x v="19"/>
    <x v="58"/>
    <n v="8"/>
  </r>
  <r>
    <x v="19"/>
    <x v="13"/>
    <n v="1"/>
  </r>
  <r>
    <x v="19"/>
    <x v="16"/>
    <n v="1"/>
  </r>
  <r>
    <x v="19"/>
    <x v="59"/>
    <n v="5"/>
  </r>
  <r>
    <x v="19"/>
    <x v="18"/>
    <n v="13"/>
  </r>
  <r>
    <x v="19"/>
    <x v="21"/>
    <n v="1"/>
  </r>
  <r>
    <x v="19"/>
    <x v="22"/>
    <n v="2"/>
  </r>
  <r>
    <x v="19"/>
    <x v="23"/>
    <n v="2"/>
  </r>
  <r>
    <x v="19"/>
    <x v="25"/>
    <n v="6"/>
  </r>
  <r>
    <x v="19"/>
    <x v="27"/>
    <n v="1"/>
  </r>
  <r>
    <x v="19"/>
    <x v="28"/>
    <n v="2"/>
  </r>
  <r>
    <x v="19"/>
    <x v="29"/>
    <n v="7"/>
  </r>
  <r>
    <x v="19"/>
    <x v="96"/>
    <n v="1"/>
  </r>
  <r>
    <x v="19"/>
    <x v="30"/>
    <n v="3"/>
  </r>
  <r>
    <x v="19"/>
    <x v="31"/>
    <n v="2"/>
  </r>
  <r>
    <x v="19"/>
    <x v="32"/>
    <n v="2"/>
  </r>
  <r>
    <x v="19"/>
    <x v="68"/>
    <n v="2"/>
  </r>
  <r>
    <x v="19"/>
    <x v="33"/>
    <n v="4"/>
  </r>
  <r>
    <x v="19"/>
    <x v="34"/>
    <n v="3"/>
  </r>
  <r>
    <x v="19"/>
    <x v="35"/>
    <n v="11"/>
  </r>
  <r>
    <x v="19"/>
    <x v="36"/>
    <n v="2"/>
  </r>
  <r>
    <x v="19"/>
    <x v="38"/>
    <n v="7"/>
  </r>
  <r>
    <x v="19"/>
    <x v="39"/>
    <n v="4"/>
  </r>
  <r>
    <x v="19"/>
    <x v="60"/>
    <n v="9"/>
  </r>
  <r>
    <x v="19"/>
    <x v="61"/>
    <n v="10"/>
  </r>
  <r>
    <x v="19"/>
    <x v="79"/>
    <n v="1"/>
  </r>
  <r>
    <x v="19"/>
    <x v="69"/>
    <n v="3"/>
  </r>
  <r>
    <x v="19"/>
    <x v="42"/>
    <n v="1"/>
  </r>
  <r>
    <x v="19"/>
    <x v="70"/>
    <n v="6"/>
  </r>
  <r>
    <x v="19"/>
    <x v="43"/>
    <n v="2"/>
  </r>
  <r>
    <x v="19"/>
    <x v="45"/>
    <n v="1"/>
  </r>
  <r>
    <x v="19"/>
    <x v="47"/>
    <n v="10"/>
  </r>
  <r>
    <x v="19"/>
    <x v="49"/>
    <n v="1"/>
  </r>
  <r>
    <x v="19"/>
    <x v="50"/>
    <n v="1"/>
  </r>
  <r>
    <x v="19"/>
    <x v="51"/>
    <n v="1"/>
  </r>
  <r>
    <x v="19"/>
    <x v="73"/>
    <n v="1"/>
  </r>
  <r>
    <x v="19"/>
    <x v="52"/>
    <n v="2"/>
  </r>
  <r>
    <x v="19"/>
    <x v="81"/>
    <n v="1"/>
  </r>
  <r>
    <x v="19"/>
    <x v="74"/>
    <n v="1"/>
  </r>
  <r>
    <x v="19"/>
    <x v="82"/>
    <n v="1"/>
  </r>
  <r>
    <x v="19"/>
    <x v="53"/>
    <n v="1"/>
  </r>
  <r>
    <x v="19"/>
    <x v="55"/>
    <n v="1"/>
  </r>
  <r>
    <x v="19"/>
    <x v="56"/>
    <n v="1"/>
  </r>
  <r>
    <x v="19"/>
    <x v="75"/>
    <n v="1"/>
  </r>
  <r>
    <x v="19"/>
    <x v="78"/>
    <n v="1"/>
  </r>
  <r>
    <x v="19"/>
    <x v="57"/>
    <n v="1"/>
  </r>
  <r>
    <x v="20"/>
    <x v="0"/>
    <n v="1"/>
  </r>
  <r>
    <x v="20"/>
    <x v="1"/>
    <n v="4"/>
  </r>
  <r>
    <x v="20"/>
    <x v="9"/>
    <n v="1"/>
  </r>
  <r>
    <x v="20"/>
    <x v="10"/>
    <n v="1"/>
  </r>
  <r>
    <x v="20"/>
    <x v="12"/>
    <n v="4"/>
  </r>
  <r>
    <x v="20"/>
    <x v="58"/>
    <n v="2"/>
  </r>
  <r>
    <x v="20"/>
    <x v="13"/>
    <n v="1"/>
  </r>
  <r>
    <x v="20"/>
    <x v="65"/>
    <n v="3"/>
  </r>
  <r>
    <x v="20"/>
    <x v="16"/>
    <n v="1"/>
  </r>
  <r>
    <x v="20"/>
    <x v="66"/>
    <n v="1"/>
  </r>
  <r>
    <x v="20"/>
    <x v="18"/>
    <n v="5"/>
  </r>
  <r>
    <x v="20"/>
    <x v="21"/>
    <n v="2"/>
  </r>
  <r>
    <x v="20"/>
    <x v="22"/>
    <n v="3"/>
  </r>
  <r>
    <x v="20"/>
    <x v="23"/>
    <n v="2"/>
  </r>
  <r>
    <x v="20"/>
    <x v="25"/>
    <n v="4"/>
  </r>
  <r>
    <x v="20"/>
    <x v="26"/>
    <n v="3"/>
  </r>
  <r>
    <x v="20"/>
    <x v="27"/>
    <n v="1"/>
  </r>
  <r>
    <x v="20"/>
    <x v="28"/>
    <n v="1"/>
  </r>
  <r>
    <x v="20"/>
    <x v="29"/>
    <n v="4"/>
  </r>
  <r>
    <x v="20"/>
    <x v="30"/>
    <n v="1"/>
  </r>
  <r>
    <x v="20"/>
    <x v="31"/>
    <n v="1"/>
  </r>
  <r>
    <x v="20"/>
    <x v="68"/>
    <n v="1"/>
  </r>
  <r>
    <x v="20"/>
    <x v="33"/>
    <n v="2"/>
  </r>
  <r>
    <x v="20"/>
    <x v="34"/>
    <n v="4"/>
  </r>
  <r>
    <x v="20"/>
    <x v="35"/>
    <n v="3"/>
  </r>
  <r>
    <x v="20"/>
    <x v="36"/>
    <n v="2"/>
  </r>
  <r>
    <x v="20"/>
    <x v="38"/>
    <n v="6"/>
  </r>
  <r>
    <x v="20"/>
    <x v="39"/>
    <n v="1"/>
  </r>
  <r>
    <x v="20"/>
    <x v="60"/>
    <n v="2"/>
  </r>
  <r>
    <x v="20"/>
    <x v="61"/>
    <n v="6"/>
  </r>
  <r>
    <x v="20"/>
    <x v="69"/>
    <n v="1"/>
  </r>
  <r>
    <x v="20"/>
    <x v="42"/>
    <n v="2"/>
  </r>
  <r>
    <x v="20"/>
    <x v="70"/>
    <n v="4"/>
  </r>
  <r>
    <x v="20"/>
    <x v="43"/>
    <n v="2"/>
  </r>
  <r>
    <x v="20"/>
    <x v="45"/>
    <n v="1"/>
  </r>
  <r>
    <x v="20"/>
    <x v="50"/>
    <n v="1"/>
  </r>
  <r>
    <x v="20"/>
    <x v="73"/>
    <n v="1"/>
  </r>
  <r>
    <x v="20"/>
    <x v="74"/>
    <n v="1"/>
  </r>
  <r>
    <x v="20"/>
    <x v="53"/>
    <n v="1"/>
  </r>
  <r>
    <x v="20"/>
    <x v="55"/>
    <n v="1"/>
  </r>
  <r>
    <x v="20"/>
    <x v="56"/>
    <n v="1"/>
  </r>
  <r>
    <x v="20"/>
    <x v="76"/>
    <n v="1"/>
  </r>
  <r>
    <x v="21"/>
    <x v="1"/>
    <n v="1"/>
  </r>
  <r>
    <x v="21"/>
    <x v="10"/>
    <n v="1"/>
  </r>
  <r>
    <x v="21"/>
    <x v="12"/>
    <n v="1"/>
  </r>
  <r>
    <x v="21"/>
    <x v="13"/>
    <n v="1"/>
  </r>
  <r>
    <x v="21"/>
    <x v="59"/>
    <n v="2"/>
  </r>
  <r>
    <x v="21"/>
    <x v="18"/>
    <n v="4"/>
  </r>
  <r>
    <x v="21"/>
    <x v="24"/>
    <n v="1"/>
  </r>
  <r>
    <x v="21"/>
    <x v="25"/>
    <n v="1"/>
  </r>
  <r>
    <x v="21"/>
    <x v="38"/>
    <n v="2"/>
  </r>
  <r>
    <x v="21"/>
    <x v="39"/>
    <n v="1"/>
  </r>
  <r>
    <x v="21"/>
    <x v="60"/>
    <n v="3"/>
  </r>
  <r>
    <x v="21"/>
    <x v="61"/>
    <n v="2"/>
  </r>
  <r>
    <x v="21"/>
    <x v="70"/>
    <n v="1"/>
  </r>
  <r>
    <x v="21"/>
    <x v="43"/>
    <n v="1"/>
  </r>
  <r>
    <x v="21"/>
    <x v="45"/>
    <n v="1"/>
  </r>
  <r>
    <x v="21"/>
    <x v="73"/>
    <n v="1"/>
  </r>
  <r>
    <x v="21"/>
    <x v="53"/>
    <n v="1"/>
  </r>
  <r>
    <x v="22"/>
    <x v="1"/>
    <n v="6"/>
  </r>
  <r>
    <x v="22"/>
    <x v="4"/>
    <n v="1"/>
  </r>
  <r>
    <x v="22"/>
    <x v="5"/>
    <n v="1"/>
  </r>
  <r>
    <x v="22"/>
    <x v="6"/>
    <n v="3"/>
  </r>
  <r>
    <x v="22"/>
    <x v="88"/>
    <n v="1"/>
  </r>
  <r>
    <x v="22"/>
    <x v="103"/>
    <n v="1"/>
  </r>
  <r>
    <x v="22"/>
    <x v="101"/>
    <n v="1"/>
  </r>
  <r>
    <x v="22"/>
    <x v="100"/>
    <n v="3"/>
  </r>
  <r>
    <x v="22"/>
    <x v="90"/>
    <n v="5"/>
  </r>
  <r>
    <x v="22"/>
    <x v="94"/>
    <n v="1"/>
  </r>
  <r>
    <x v="22"/>
    <x v="9"/>
    <n v="1"/>
  </r>
  <r>
    <x v="22"/>
    <x v="10"/>
    <n v="3"/>
  </r>
  <r>
    <x v="22"/>
    <x v="11"/>
    <n v="3"/>
  </r>
  <r>
    <x v="22"/>
    <x v="12"/>
    <n v="4"/>
  </r>
  <r>
    <x v="22"/>
    <x v="58"/>
    <n v="3"/>
  </r>
  <r>
    <x v="22"/>
    <x v="13"/>
    <n v="2"/>
  </r>
  <r>
    <x v="22"/>
    <x v="14"/>
    <n v="1"/>
  </r>
  <r>
    <x v="22"/>
    <x v="102"/>
    <n v="1"/>
  </r>
  <r>
    <x v="22"/>
    <x v="17"/>
    <n v="5"/>
  </r>
  <r>
    <x v="22"/>
    <x v="66"/>
    <n v="2"/>
  </r>
  <r>
    <x v="22"/>
    <x v="18"/>
    <n v="6"/>
  </r>
  <r>
    <x v="22"/>
    <x v="19"/>
    <n v="4"/>
  </r>
  <r>
    <x v="22"/>
    <x v="20"/>
    <n v="3"/>
  </r>
  <r>
    <x v="22"/>
    <x v="21"/>
    <n v="1"/>
  </r>
  <r>
    <x v="22"/>
    <x v="22"/>
    <n v="2"/>
  </r>
  <r>
    <x v="22"/>
    <x v="24"/>
    <n v="2"/>
  </r>
  <r>
    <x v="22"/>
    <x v="25"/>
    <n v="2"/>
  </r>
  <r>
    <x v="22"/>
    <x v="26"/>
    <n v="1"/>
  </r>
  <r>
    <x v="22"/>
    <x v="99"/>
    <n v="2"/>
  </r>
  <r>
    <x v="22"/>
    <x v="28"/>
    <n v="1"/>
  </r>
  <r>
    <x v="22"/>
    <x v="95"/>
    <n v="1"/>
  </r>
  <r>
    <x v="22"/>
    <x v="29"/>
    <n v="3"/>
  </r>
  <r>
    <x v="22"/>
    <x v="96"/>
    <n v="3"/>
  </r>
  <r>
    <x v="22"/>
    <x v="30"/>
    <n v="2"/>
  </r>
  <r>
    <x v="22"/>
    <x v="31"/>
    <n v="6"/>
  </r>
  <r>
    <x v="22"/>
    <x v="32"/>
    <n v="4"/>
  </r>
  <r>
    <x v="22"/>
    <x v="68"/>
    <n v="2"/>
  </r>
  <r>
    <x v="22"/>
    <x v="33"/>
    <n v="3"/>
  </r>
  <r>
    <x v="22"/>
    <x v="34"/>
    <n v="3"/>
  </r>
  <r>
    <x v="22"/>
    <x v="97"/>
    <n v="1"/>
  </r>
  <r>
    <x v="22"/>
    <x v="35"/>
    <n v="3"/>
  </r>
  <r>
    <x v="22"/>
    <x v="36"/>
    <n v="2"/>
  </r>
  <r>
    <x v="22"/>
    <x v="37"/>
    <n v="1"/>
  </r>
  <r>
    <x v="22"/>
    <x v="38"/>
    <n v="5"/>
  </r>
  <r>
    <x v="22"/>
    <x v="39"/>
    <n v="2"/>
  </r>
  <r>
    <x v="22"/>
    <x v="61"/>
    <n v="6"/>
  </r>
  <r>
    <x v="22"/>
    <x v="43"/>
    <n v="2"/>
  </r>
  <r>
    <x v="22"/>
    <x v="44"/>
    <n v="1"/>
  </r>
  <r>
    <x v="22"/>
    <x v="45"/>
    <n v="1"/>
  </r>
  <r>
    <x v="22"/>
    <x v="46"/>
    <n v="5"/>
  </r>
  <r>
    <x v="22"/>
    <x v="48"/>
    <n v="1"/>
  </r>
  <r>
    <x v="22"/>
    <x v="71"/>
    <n v="1"/>
  </r>
  <r>
    <x v="22"/>
    <x v="72"/>
    <n v="1"/>
  </r>
  <r>
    <x v="22"/>
    <x v="49"/>
    <n v="1"/>
  </r>
  <r>
    <x v="22"/>
    <x v="52"/>
    <n v="5"/>
  </r>
  <r>
    <x v="22"/>
    <x v="74"/>
    <n v="1"/>
  </r>
  <r>
    <x v="22"/>
    <x v="53"/>
    <n v="1"/>
  </r>
  <r>
    <x v="22"/>
    <x v="54"/>
    <n v="1"/>
  </r>
  <r>
    <x v="22"/>
    <x v="76"/>
    <n v="1"/>
  </r>
  <r>
    <x v="22"/>
    <x v="57"/>
    <n v="1"/>
  </r>
  <r>
    <x v="23"/>
    <x v="0"/>
    <n v="1"/>
  </r>
  <r>
    <x v="23"/>
    <x v="1"/>
    <n v="2"/>
  </r>
  <r>
    <x v="23"/>
    <x v="2"/>
    <n v="1"/>
  </r>
  <r>
    <x v="23"/>
    <x v="3"/>
    <n v="3"/>
  </r>
  <r>
    <x v="23"/>
    <x v="4"/>
    <n v="3"/>
  </r>
  <r>
    <x v="23"/>
    <x v="5"/>
    <n v="3"/>
  </r>
  <r>
    <x v="23"/>
    <x v="85"/>
    <n v="2"/>
  </r>
  <r>
    <x v="23"/>
    <x v="6"/>
    <n v="3"/>
  </r>
  <r>
    <x v="23"/>
    <x v="90"/>
    <n v="2"/>
  </r>
  <r>
    <x v="23"/>
    <x v="9"/>
    <n v="1"/>
  </r>
  <r>
    <x v="23"/>
    <x v="10"/>
    <n v="2"/>
  </r>
  <r>
    <x v="23"/>
    <x v="11"/>
    <n v="1"/>
  </r>
  <r>
    <x v="23"/>
    <x v="12"/>
    <n v="2"/>
  </r>
  <r>
    <x v="23"/>
    <x v="58"/>
    <n v="5"/>
  </r>
  <r>
    <x v="23"/>
    <x v="13"/>
    <n v="1"/>
  </r>
  <r>
    <x v="23"/>
    <x v="65"/>
    <n v="2"/>
  </r>
  <r>
    <x v="23"/>
    <x v="91"/>
    <n v="1"/>
  </r>
  <r>
    <x v="23"/>
    <x v="16"/>
    <n v="1"/>
  </r>
  <r>
    <x v="23"/>
    <x v="17"/>
    <n v="4"/>
  </r>
  <r>
    <x v="23"/>
    <x v="18"/>
    <n v="7"/>
  </r>
  <r>
    <x v="23"/>
    <x v="21"/>
    <n v="1"/>
  </r>
  <r>
    <x v="23"/>
    <x v="22"/>
    <n v="12"/>
  </r>
  <r>
    <x v="23"/>
    <x v="23"/>
    <n v="4"/>
  </r>
  <r>
    <x v="23"/>
    <x v="24"/>
    <n v="1"/>
  </r>
  <r>
    <x v="23"/>
    <x v="25"/>
    <n v="5"/>
  </r>
  <r>
    <x v="23"/>
    <x v="26"/>
    <n v="1"/>
  </r>
  <r>
    <x v="23"/>
    <x v="99"/>
    <n v="1"/>
  </r>
  <r>
    <x v="23"/>
    <x v="67"/>
    <n v="1"/>
  </r>
  <r>
    <x v="23"/>
    <x v="28"/>
    <n v="1"/>
  </r>
  <r>
    <x v="23"/>
    <x v="95"/>
    <n v="1"/>
  </r>
  <r>
    <x v="23"/>
    <x v="29"/>
    <n v="4"/>
  </r>
  <r>
    <x v="23"/>
    <x v="30"/>
    <n v="1"/>
  </r>
  <r>
    <x v="23"/>
    <x v="31"/>
    <n v="2"/>
  </r>
  <r>
    <x v="23"/>
    <x v="32"/>
    <n v="2"/>
  </r>
  <r>
    <x v="23"/>
    <x v="68"/>
    <n v="2"/>
  </r>
  <r>
    <x v="23"/>
    <x v="33"/>
    <n v="4"/>
  </r>
  <r>
    <x v="23"/>
    <x v="34"/>
    <n v="4"/>
  </r>
  <r>
    <x v="23"/>
    <x v="35"/>
    <n v="4"/>
  </r>
  <r>
    <x v="23"/>
    <x v="36"/>
    <n v="2"/>
  </r>
  <r>
    <x v="23"/>
    <x v="38"/>
    <n v="8"/>
  </r>
  <r>
    <x v="23"/>
    <x v="39"/>
    <n v="3"/>
  </r>
  <r>
    <x v="23"/>
    <x v="40"/>
    <n v="2"/>
  </r>
  <r>
    <x v="23"/>
    <x v="60"/>
    <n v="2"/>
  </r>
  <r>
    <x v="23"/>
    <x v="61"/>
    <n v="17"/>
  </r>
  <r>
    <x v="23"/>
    <x v="41"/>
    <n v="1"/>
  </r>
  <r>
    <x v="23"/>
    <x v="69"/>
    <n v="3"/>
  </r>
  <r>
    <x v="23"/>
    <x v="43"/>
    <n v="4"/>
  </r>
  <r>
    <x v="23"/>
    <x v="44"/>
    <n v="5"/>
  </r>
  <r>
    <x v="23"/>
    <x v="45"/>
    <n v="2"/>
  </r>
  <r>
    <x v="23"/>
    <x v="47"/>
    <n v="9"/>
  </r>
  <r>
    <x v="23"/>
    <x v="49"/>
    <n v="1"/>
  </r>
  <r>
    <x v="23"/>
    <x v="50"/>
    <n v="1"/>
  </r>
  <r>
    <x v="23"/>
    <x v="51"/>
    <n v="2"/>
  </r>
  <r>
    <x v="23"/>
    <x v="73"/>
    <n v="1"/>
  </r>
  <r>
    <x v="23"/>
    <x v="81"/>
    <n v="1"/>
  </r>
  <r>
    <x v="23"/>
    <x v="82"/>
    <n v="4"/>
  </r>
  <r>
    <x v="23"/>
    <x v="53"/>
    <n v="3"/>
  </r>
  <r>
    <x v="23"/>
    <x v="54"/>
    <n v="7"/>
  </r>
  <r>
    <x v="23"/>
    <x v="55"/>
    <n v="1"/>
  </r>
  <r>
    <x v="23"/>
    <x v="56"/>
    <n v="2"/>
  </r>
  <r>
    <x v="24"/>
    <x v="1"/>
    <n v="7"/>
  </r>
  <r>
    <x v="24"/>
    <x v="63"/>
    <n v="1"/>
  </r>
  <r>
    <x v="24"/>
    <x v="93"/>
    <n v="1"/>
  </r>
  <r>
    <x v="24"/>
    <x v="2"/>
    <n v="5"/>
  </r>
  <r>
    <x v="24"/>
    <x v="3"/>
    <n v="1"/>
  </r>
  <r>
    <x v="24"/>
    <x v="4"/>
    <n v="2"/>
  </r>
  <r>
    <x v="24"/>
    <x v="5"/>
    <n v="1"/>
  </r>
  <r>
    <x v="24"/>
    <x v="6"/>
    <n v="3"/>
  </r>
  <r>
    <x v="24"/>
    <x v="86"/>
    <n v="1"/>
  </r>
  <r>
    <x v="24"/>
    <x v="100"/>
    <n v="2"/>
  </r>
  <r>
    <x v="24"/>
    <x v="7"/>
    <n v="1"/>
  </r>
  <r>
    <x v="24"/>
    <x v="90"/>
    <n v="4"/>
  </r>
  <r>
    <x v="24"/>
    <x v="10"/>
    <n v="2"/>
  </r>
  <r>
    <x v="24"/>
    <x v="11"/>
    <n v="1"/>
  </r>
  <r>
    <x v="24"/>
    <x v="12"/>
    <n v="5"/>
  </r>
  <r>
    <x v="24"/>
    <x v="58"/>
    <n v="1"/>
  </r>
  <r>
    <x v="24"/>
    <x v="13"/>
    <n v="1"/>
  </r>
  <r>
    <x v="24"/>
    <x v="102"/>
    <n v="1"/>
  </r>
  <r>
    <x v="24"/>
    <x v="91"/>
    <n v="1"/>
  </r>
  <r>
    <x v="24"/>
    <x v="16"/>
    <n v="2"/>
  </r>
  <r>
    <x v="24"/>
    <x v="17"/>
    <n v="4"/>
  </r>
  <r>
    <x v="24"/>
    <x v="18"/>
    <n v="7"/>
  </r>
  <r>
    <x v="24"/>
    <x v="19"/>
    <n v="3"/>
  </r>
  <r>
    <x v="24"/>
    <x v="20"/>
    <n v="1"/>
  </r>
  <r>
    <x v="24"/>
    <x v="21"/>
    <n v="1"/>
  </r>
  <r>
    <x v="24"/>
    <x v="22"/>
    <n v="5"/>
  </r>
  <r>
    <x v="24"/>
    <x v="23"/>
    <n v="3"/>
  </r>
  <r>
    <x v="24"/>
    <x v="24"/>
    <n v="1"/>
  </r>
  <r>
    <x v="24"/>
    <x v="25"/>
    <n v="3"/>
  </r>
  <r>
    <x v="24"/>
    <x v="67"/>
    <n v="1"/>
  </r>
  <r>
    <x v="24"/>
    <x v="27"/>
    <n v="2"/>
  </r>
  <r>
    <x v="24"/>
    <x v="28"/>
    <n v="1"/>
  </r>
  <r>
    <x v="24"/>
    <x v="29"/>
    <n v="5"/>
  </r>
  <r>
    <x v="24"/>
    <x v="30"/>
    <n v="1"/>
  </r>
  <r>
    <x v="24"/>
    <x v="31"/>
    <n v="1"/>
  </r>
  <r>
    <x v="24"/>
    <x v="32"/>
    <n v="2"/>
  </r>
  <r>
    <x v="24"/>
    <x v="33"/>
    <n v="3"/>
  </r>
  <r>
    <x v="24"/>
    <x v="35"/>
    <n v="2"/>
  </r>
  <r>
    <x v="24"/>
    <x v="38"/>
    <n v="6"/>
  </r>
  <r>
    <x v="24"/>
    <x v="39"/>
    <n v="3"/>
  </r>
  <r>
    <x v="24"/>
    <x v="60"/>
    <n v="5"/>
  </r>
  <r>
    <x v="24"/>
    <x v="61"/>
    <n v="8"/>
  </r>
  <r>
    <x v="24"/>
    <x v="69"/>
    <n v="4"/>
  </r>
  <r>
    <x v="24"/>
    <x v="42"/>
    <n v="2"/>
  </r>
  <r>
    <x v="24"/>
    <x v="43"/>
    <n v="4"/>
  </r>
  <r>
    <x v="24"/>
    <x v="44"/>
    <n v="2"/>
  </r>
  <r>
    <x v="24"/>
    <x v="45"/>
    <n v="2"/>
  </r>
  <r>
    <x v="24"/>
    <x v="47"/>
    <n v="6"/>
  </r>
  <r>
    <x v="24"/>
    <x v="49"/>
    <n v="2"/>
  </r>
  <r>
    <x v="24"/>
    <x v="50"/>
    <n v="1"/>
  </r>
  <r>
    <x v="24"/>
    <x v="73"/>
    <n v="1"/>
  </r>
  <r>
    <x v="24"/>
    <x v="52"/>
    <n v="2"/>
  </r>
  <r>
    <x v="24"/>
    <x v="81"/>
    <n v="2"/>
  </r>
  <r>
    <x v="24"/>
    <x v="82"/>
    <n v="4"/>
  </r>
  <r>
    <x v="24"/>
    <x v="53"/>
    <n v="2"/>
  </r>
  <r>
    <x v="24"/>
    <x v="55"/>
    <n v="1"/>
  </r>
  <r>
    <x v="24"/>
    <x v="56"/>
    <n v="2"/>
  </r>
  <r>
    <x v="24"/>
    <x v="76"/>
    <n v="1"/>
  </r>
  <r>
    <x v="24"/>
    <x v="77"/>
    <n v="1"/>
  </r>
  <r>
    <x v="25"/>
    <x v="84"/>
    <n v="3"/>
  </r>
  <r>
    <x v="25"/>
    <x v="1"/>
    <n v="6"/>
  </r>
  <r>
    <x v="25"/>
    <x v="92"/>
    <n v="1"/>
  </r>
  <r>
    <x v="25"/>
    <x v="63"/>
    <n v="2"/>
  </r>
  <r>
    <x v="25"/>
    <x v="93"/>
    <n v="1"/>
  </r>
  <r>
    <x v="25"/>
    <x v="2"/>
    <n v="4"/>
  </r>
  <r>
    <x v="25"/>
    <x v="64"/>
    <n v="3"/>
  </r>
  <r>
    <x v="25"/>
    <x v="3"/>
    <n v="1"/>
  </r>
  <r>
    <x v="25"/>
    <x v="4"/>
    <n v="3"/>
  </r>
  <r>
    <x v="25"/>
    <x v="5"/>
    <n v="2"/>
  </r>
  <r>
    <x v="25"/>
    <x v="85"/>
    <n v="1"/>
  </r>
  <r>
    <x v="25"/>
    <x v="6"/>
    <n v="3"/>
  </r>
  <r>
    <x v="25"/>
    <x v="86"/>
    <n v="1"/>
  </r>
  <r>
    <x v="25"/>
    <x v="88"/>
    <n v="1"/>
  </r>
  <r>
    <x v="25"/>
    <x v="103"/>
    <n v="3"/>
  </r>
  <r>
    <x v="25"/>
    <x v="89"/>
    <n v="1"/>
  </r>
  <r>
    <x v="25"/>
    <x v="101"/>
    <n v="2"/>
  </r>
  <r>
    <x v="25"/>
    <x v="105"/>
    <n v="2"/>
  </r>
  <r>
    <x v="25"/>
    <x v="100"/>
    <n v="3"/>
  </r>
  <r>
    <x v="25"/>
    <x v="7"/>
    <n v="1"/>
  </r>
  <r>
    <x v="25"/>
    <x v="90"/>
    <n v="12"/>
  </r>
  <r>
    <x v="25"/>
    <x v="9"/>
    <n v="2"/>
  </r>
  <r>
    <x v="25"/>
    <x v="10"/>
    <n v="2"/>
  </r>
  <r>
    <x v="25"/>
    <x v="11"/>
    <n v="1"/>
  </r>
  <r>
    <x v="25"/>
    <x v="12"/>
    <n v="6"/>
  </r>
  <r>
    <x v="25"/>
    <x v="58"/>
    <n v="11"/>
  </r>
  <r>
    <x v="25"/>
    <x v="13"/>
    <n v="1"/>
  </r>
  <r>
    <x v="25"/>
    <x v="14"/>
    <n v="1"/>
  </r>
  <r>
    <x v="25"/>
    <x v="65"/>
    <n v="1"/>
  </r>
  <r>
    <x v="25"/>
    <x v="91"/>
    <n v="1"/>
  </r>
  <r>
    <x v="25"/>
    <x v="16"/>
    <n v="1"/>
  </r>
  <r>
    <x v="25"/>
    <x v="17"/>
    <n v="5"/>
  </r>
  <r>
    <x v="25"/>
    <x v="18"/>
    <n v="9"/>
  </r>
  <r>
    <x v="25"/>
    <x v="19"/>
    <n v="1"/>
  </r>
  <r>
    <x v="25"/>
    <x v="20"/>
    <n v="1"/>
  </r>
  <r>
    <x v="25"/>
    <x v="23"/>
    <n v="5"/>
  </r>
  <r>
    <x v="25"/>
    <x v="25"/>
    <n v="1"/>
  </r>
  <r>
    <x v="25"/>
    <x v="26"/>
    <n v="1"/>
  </r>
  <r>
    <x v="25"/>
    <x v="99"/>
    <n v="1"/>
  </r>
  <r>
    <x v="25"/>
    <x v="67"/>
    <n v="1"/>
  </r>
  <r>
    <x v="25"/>
    <x v="28"/>
    <n v="2"/>
  </r>
  <r>
    <x v="25"/>
    <x v="35"/>
    <n v="6"/>
  </r>
  <r>
    <x v="25"/>
    <x v="39"/>
    <n v="6"/>
  </r>
  <r>
    <x v="25"/>
    <x v="61"/>
    <n v="15"/>
  </r>
  <r>
    <x v="25"/>
    <x v="69"/>
    <n v="5"/>
  </r>
  <r>
    <x v="25"/>
    <x v="42"/>
    <n v="4"/>
  </r>
  <r>
    <x v="25"/>
    <x v="43"/>
    <n v="3"/>
  </r>
  <r>
    <x v="25"/>
    <x v="44"/>
    <n v="4"/>
  </r>
  <r>
    <x v="25"/>
    <x v="45"/>
    <n v="3"/>
  </r>
  <r>
    <x v="25"/>
    <x v="47"/>
    <n v="2"/>
  </r>
  <r>
    <x v="25"/>
    <x v="50"/>
    <n v="1"/>
  </r>
  <r>
    <x v="25"/>
    <x v="51"/>
    <n v="3"/>
  </r>
  <r>
    <x v="25"/>
    <x v="73"/>
    <n v="1"/>
  </r>
  <r>
    <x v="25"/>
    <x v="81"/>
    <n v="1"/>
  </r>
  <r>
    <x v="25"/>
    <x v="74"/>
    <n v="1"/>
  </r>
  <r>
    <x v="25"/>
    <x v="82"/>
    <n v="1"/>
  </r>
  <r>
    <x v="25"/>
    <x v="53"/>
    <n v="4"/>
  </r>
  <r>
    <x v="25"/>
    <x v="54"/>
    <n v="2"/>
  </r>
  <r>
    <x v="25"/>
    <x v="55"/>
    <n v="1"/>
  </r>
  <r>
    <x v="25"/>
    <x v="56"/>
    <n v="2"/>
  </r>
  <r>
    <x v="25"/>
    <x v="98"/>
    <n v="1"/>
  </r>
  <r>
    <x v="25"/>
    <x v="57"/>
    <n v="1"/>
  </r>
  <r>
    <x v="26"/>
    <x v="4"/>
    <n v="3"/>
  </r>
  <r>
    <x v="26"/>
    <x v="5"/>
    <n v="1"/>
  </r>
  <r>
    <x v="26"/>
    <x v="11"/>
    <n v="1"/>
  </r>
  <r>
    <x v="26"/>
    <x v="12"/>
    <n v="1"/>
  </r>
  <r>
    <x v="26"/>
    <x v="58"/>
    <n v="4"/>
  </r>
  <r>
    <x v="26"/>
    <x v="18"/>
    <n v="5"/>
  </r>
  <r>
    <x v="26"/>
    <x v="21"/>
    <n v="1"/>
  </r>
  <r>
    <x v="26"/>
    <x v="22"/>
    <n v="3"/>
  </r>
  <r>
    <x v="26"/>
    <x v="23"/>
    <n v="1"/>
  </r>
  <r>
    <x v="26"/>
    <x v="25"/>
    <n v="2"/>
  </r>
  <r>
    <x v="26"/>
    <x v="26"/>
    <n v="1"/>
  </r>
  <r>
    <x v="26"/>
    <x v="28"/>
    <n v="1"/>
  </r>
  <r>
    <x v="26"/>
    <x v="29"/>
    <n v="4"/>
  </r>
  <r>
    <x v="26"/>
    <x v="31"/>
    <n v="1"/>
  </r>
  <r>
    <x v="26"/>
    <x v="32"/>
    <n v="1"/>
  </r>
  <r>
    <x v="26"/>
    <x v="33"/>
    <n v="1"/>
  </r>
  <r>
    <x v="26"/>
    <x v="34"/>
    <n v="2"/>
  </r>
  <r>
    <x v="26"/>
    <x v="35"/>
    <n v="2"/>
  </r>
  <r>
    <x v="26"/>
    <x v="36"/>
    <n v="1"/>
  </r>
  <r>
    <x v="26"/>
    <x v="38"/>
    <n v="5"/>
  </r>
  <r>
    <x v="26"/>
    <x v="39"/>
    <n v="5"/>
  </r>
  <r>
    <x v="26"/>
    <x v="60"/>
    <n v="5"/>
  </r>
  <r>
    <x v="26"/>
    <x v="61"/>
    <n v="3"/>
  </r>
  <r>
    <x v="26"/>
    <x v="70"/>
    <n v="2"/>
  </r>
  <r>
    <x v="26"/>
    <x v="43"/>
    <n v="3"/>
  </r>
  <r>
    <x v="26"/>
    <x v="45"/>
    <n v="3"/>
  </r>
  <r>
    <x v="26"/>
    <x v="73"/>
    <n v="1"/>
  </r>
  <r>
    <x v="26"/>
    <x v="82"/>
    <n v="1"/>
  </r>
  <r>
    <x v="26"/>
    <x v="53"/>
    <n v="1"/>
  </r>
  <r>
    <x v="26"/>
    <x v="54"/>
    <n v="3"/>
  </r>
  <r>
    <x v="26"/>
    <x v="56"/>
    <n v="2"/>
  </r>
  <r>
    <x v="26"/>
    <x v="62"/>
    <n v="3"/>
  </r>
  <r>
    <x v="27"/>
    <x v="1"/>
    <n v="2"/>
  </r>
  <r>
    <x v="27"/>
    <x v="4"/>
    <n v="2"/>
  </r>
  <r>
    <x v="27"/>
    <x v="5"/>
    <n v="2"/>
  </r>
  <r>
    <x v="27"/>
    <x v="10"/>
    <n v="1"/>
  </r>
  <r>
    <x v="27"/>
    <x v="11"/>
    <n v="1"/>
  </r>
  <r>
    <x v="27"/>
    <x v="12"/>
    <n v="2"/>
  </r>
  <r>
    <x v="27"/>
    <x v="58"/>
    <n v="2"/>
  </r>
  <r>
    <x v="27"/>
    <x v="13"/>
    <n v="1"/>
  </r>
  <r>
    <x v="27"/>
    <x v="65"/>
    <n v="2"/>
  </r>
  <r>
    <x v="27"/>
    <x v="59"/>
    <n v="3"/>
  </r>
  <r>
    <x v="27"/>
    <x v="18"/>
    <n v="5"/>
  </r>
  <r>
    <x v="27"/>
    <x v="21"/>
    <n v="1"/>
  </r>
  <r>
    <x v="27"/>
    <x v="22"/>
    <n v="2"/>
  </r>
  <r>
    <x v="27"/>
    <x v="25"/>
    <n v="3"/>
  </r>
  <r>
    <x v="27"/>
    <x v="26"/>
    <n v="1"/>
  </r>
  <r>
    <x v="27"/>
    <x v="27"/>
    <n v="1"/>
  </r>
  <r>
    <x v="27"/>
    <x v="28"/>
    <n v="2"/>
  </r>
  <r>
    <x v="27"/>
    <x v="29"/>
    <n v="4"/>
  </r>
  <r>
    <x v="27"/>
    <x v="30"/>
    <n v="2"/>
  </r>
  <r>
    <x v="27"/>
    <x v="31"/>
    <n v="2"/>
  </r>
  <r>
    <x v="27"/>
    <x v="32"/>
    <n v="1"/>
  </r>
  <r>
    <x v="27"/>
    <x v="68"/>
    <n v="1"/>
  </r>
  <r>
    <x v="27"/>
    <x v="33"/>
    <n v="2"/>
  </r>
  <r>
    <x v="27"/>
    <x v="34"/>
    <n v="4"/>
  </r>
  <r>
    <x v="27"/>
    <x v="35"/>
    <n v="2"/>
  </r>
  <r>
    <x v="27"/>
    <x v="36"/>
    <n v="3"/>
  </r>
  <r>
    <x v="27"/>
    <x v="38"/>
    <n v="5"/>
  </r>
  <r>
    <x v="27"/>
    <x v="39"/>
    <n v="3"/>
  </r>
  <r>
    <x v="27"/>
    <x v="60"/>
    <n v="7"/>
  </r>
  <r>
    <x v="27"/>
    <x v="61"/>
    <n v="7"/>
  </r>
  <r>
    <x v="27"/>
    <x v="70"/>
    <n v="4"/>
  </r>
  <r>
    <x v="27"/>
    <x v="43"/>
    <n v="4"/>
  </r>
  <r>
    <x v="27"/>
    <x v="45"/>
    <n v="1"/>
  </r>
  <r>
    <x v="27"/>
    <x v="49"/>
    <n v="1"/>
  </r>
  <r>
    <x v="27"/>
    <x v="53"/>
    <n v="2"/>
  </r>
  <r>
    <x v="27"/>
    <x v="62"/>
    <n v="1"/>
  </r>
  <r>
    <x v="28"/>
    <x v="1"/>
    <n v="1"/>
  </r>
  <r>
    <x v="28"/>
    <x v="4"/>
    <n v="1"/>
  </r>
  <r>
    <x v="28"/>
    <x v="5"/>
    <n v="1"/>
  </r>
  <r>
    <x v="28"/>
    <x v="12"/>
    <n v="3"/>
  </r>
  <r>
    <x v="28"/>
    <x v="58"/>
    <n v="3"/>
  </r>
  <r>
    <x v="28"/>
    <x v="65"/>
    <n v="1"/>
  </r>
  <r>
    <x v="28"/>
    <x v="59"/>
    <n v="1"/>
  </r>
  <r>
    <x v="28"/>
    <x v="18"/>
    <n v="5"/>
  </r>
  <r>
    <x v="28"/>
    <x v="21"/>
    <n v="1"/>
  </r>
  <r>
    <x v="28"/>
    <x v="22"/>
    <n v="1"/>
  </r>
  <r>
    <x v="28"/>
    <x v="23"/>
    <n v="1"/>
  </r>
  <r>
    <x v="28"/>
    <x v="25"/>
    <n v="3"/>
  </r>
  <r>
    <x v="28"/>
    <x v="26"/>
    <n v="1"/>
  </r>
  <r>
    <x v="28"/>
    <x v="27"/>
    <n v="1"/>
  </r>
  <r>
    <x v="28"/>
    <x v="28"/>
    <n v="1"/>
  </r>
  <r>
    <x v="28"/>
    <x v="29"/>
    <n v="1"/>
  </r>
  <r>
    <x v="28"/>
    <x v="30"/>
    <n v="1"/>
  </r>
  <r>
    <x v="28"/>
    <x v="31"/>
    <n v="1"/>
  </r>
  <r>
    <x v="28"/>
    <x v="32"/>
    <n v="1"/>
  </r>
  <r>
    <x v="28"/>
    <x v="68"/>
    <n v="1"/>
  </r>
  <r>
    <x v="28"/>
    <x v="33"/>
    <n v="1"/>
  </r>
  <r>
    <x v="28"/>
    <x v="34"/>
    <n v="2"/>
  </r>
  <r>
    <x v="28"/>
    <x v="35"/>
    <n v="1"/>
  </r>
  <r>
    <x v="28"/>
    <x v="36"/>
    <n v="1"/>
  </r>
  <r>
    <x v="28"/>
    <x v="38"/>
    <n v="4"/>
  </r>
  <r>
    <x v="28"/>
    <x v="39"/>
    <n v="2"/>
  </r>
  <r>
    <x v="28"/>
    <x v="60"/>
    <n v="3"/>
  </r>
  <r>
    <x v="28"/>
    <x v="61"/>
    <n v="3"/>
  </r>
  <r>
    <x v="28"/>
    <x v="70"/>
    <n v="2"/>
  </r>
  <r>
    <x v="28"/>
    <x v="43"/>
    <n v="2"/>
  </r>
  <r>
    <x v="28"/>
    <x v="45"/>
    <n v="1"/>
  </r>
  <r>
    <x v="28"/>
    <x v="49"/>
    <n v="1"/>
  </r>
  <r>
    <x v="28"/>
    <x v="53"/>
    <n v="3"/>
  </r>
  <r>
    <x v="28"/>
    <x v="62"/>
    <n v="1"/>
  </r>
  <r>
    <x v="29"/>
    <x v="5"/>
    <n v="1"/>
  </r>
  <r>
    <x v="29"/>
    <x v="11"/>
    <n v="1"/>
  </r>
  <r>
    <x v="29"/>
    <x v="12"/>
    <n v="2"/>
  </r>
  <r>
    <x v="29"/>
    <x v="13"/>
    <n v="1"/>
  </r>
  <r>
    <x v="29"/>
    <x v="59"/>
    <n v="4"/>
  </r>
  <r>
    <x v="29"/>
    <x v="66"/>
    <n v="1"/>
  </r>
  <r>
    <x v="29"/>
    <x v="18"/>
    <n v="3"/>
  </r>
  <r>
    <x v="29"/>
    <x v="19"/>
    <n v="3"/>
  </r>
  <r>
    <x v="29"/>
    <x v="21"/>
    <n v="1"/>
  </r>
  <r>
    <x v="29"/>
    <x v="24"/>
    <n v="1"/>
  </r>
  <r>
    <x v="29"/>
    <x v="25"/>
    <n v="2"/>
  </r>
  <r>
    <x v="29"/>
    <x v="27"/>
    <n v="1"/>
  </r>
  <r>
    <x v="29"/>
    <x v="28"/>
    <n v="1"/>
  </r>
  <r>
    <x v="29"/>
    <x v="29"/>
    <n v="3"/>
  </r>
  <r>
    <x v="29"/>
    <x v="30"/>
    <n v="1"/>
  </r>
  <r>
    <x v="29"/>
    <x v="31"/>
    <n v="1"/>
  </r>
  <r>
    <x v="29"/>
    <x v="32"/>
    <n v="1"/>
  </r>
  <r>
    <x v="29"/>
    <x v="68"/>
    <n v="1"/>
  </r>
  <r>
    <x v="29"/>
    <x v="33"/>
    <n v="2"/>
  </r>
  <r>
    <x v="29"/>
    <x v="34"/>
    <n v="2"/>
  </r>
  <r>
    <x v="29"/>
    <x v="35"/>
    <n v="2"/>
  </r>
  <r>
    <x v="29"/>
    <x v="36"/>
    <n v="1"/>
  </r>
  <r>
    <x v="29"/>
    <x v="38"/>
    <n v="4"/>
  </r>
  <r>
    <x v="29"/>
    <x v="39"/>
    <n v="1"/>
  </r>
  <r>
    <x v="29"/>
    <x v="60"/>
    <n v="4"/>
  </r>
  <r>
    <x v="29"/>
    <x v="61"/>
    <n v="4"/>
  </r>
  <r>
    <x v="29"/>
    <x v="43"/>
    <n v="1"/>
  </r>
  <r>
    <x v="29"/>
    <x v="49"/>
    <n v="1"/>
  </r>
  <r>
    <x v="29"/>
    <x v="53"/>
    <n v="1"/>
  </r>
  <r>
    <x v="29"/>
    <x v="62"/>
    <n v="1"/>
  </r>
  <r>
    <x v="30"/>
    <x v="9"/>
    <n v="1"/>
  </r>
  <r>
    <x v="30"/>
    <x v="12"/>
    <n v="2"/>
  </r>
  <r>
    <x v="30"/>
    <x v="58"/>
    <n v="1"/>
  </r>
  <r>
    <x v="30"/>
    <x v="13"/>
    <n v="1"/>
  </r>
  <r>
    <x v="30"/>
    <x v="59"/>
    <n v="2"/>
  </r>
  <r>
    <x v="30"/>
    <x v="18"/>
    <n v="2"/>
  </r>
  <r>
    <x v="30"/>
    <x v="19"/>
    <n v="1"/>
  </r>
  <r>
    <x v="30"/>
    <x v="21"/>
    <n v="1"/>
  </r>
  <r>
    <x v="30"/>
    <x v="23"/>
    <n v="1"/>
  </r>
  <r>
    <x v="30"/>
    <x v="29"/>
    <n v="1"/>
  </r>
  <r>
    <x v="30"/>
    <x v="32"/>
    <n v="1"/>
  </r>
  <r>
    <x v="30"/>
    <x v="68"/>
    <n v="1"/>
  </r>
  <r>
    <x v="30"/>
    <x v="34"/>
    <n v="1"/>
  </r>
  <r>
    <x v="30"/>
    <x v="38"/>
    <n v="2"/>
  </r>
  <r>
    <x v="30"/>
    <x v="39"/>
    <n v="1"/>
  </r>
  <r>
    <x v="30"/>
    <x v="60"/>
    <n v="1"/>
  </r>
  <r>
    <x v="30"/>
    <x v="61"/>
    <n v="2"/>
  </r>
  <r>
    <x v="30"/>
    <x v="70"/>
    <n v="1"/>
  </r>
  <r>
    <x v="30"/>
    <x v="43"/>
    <n v="1"/>
  </r>
  <r>
    <x v="30"/>
    <x v="80"/>
    <n v="1"/>
  </r>
  <r>
    <x v="30"/>
    <x v="49"/>
    <n v="1"/>
  </r>
  <r>
    <x v="30"/>
    <x v="50"/>
    <n v="1"/>
  </r>
  <r>
    <x v="30"/>
    <x v="73"/>
    <n v="1"/>
  </r>
  <r>
    <x v="30"/>
    <x v="55"/>
    <n v="1"/>
  </r>
  <r>
    <x v="31"/>
    <x v="63"/>
    <n v="1"/>
  </r>
  <r>
    <x v="31"/>
    <x v="4"/>
    <n v="1"/>
  </r>
  <r>
    <x v="31"/>
    <x v="6"/>
    <n v="4"/>
  </r>
  <r>
    <x v="31"/>
    <x v="105"/>
    <n v="1"/>
  </r>
  <r>
    <x v="31"/>
    <x v="10"/>
    <n v="1"/>
  </r>
  <r>
    <x v="31"/>
    <x v="12"/>
    <n v="1"/>
  </r>
  <r>
    <x v="31"/>
    <x v="58"/>
    <n v="1"/>
  </r>
  <r>
    <x v="31"/>
    <x v="13"/>
    <n v="1"/>
  </r>
  <r>
    <x v="31"/>
    <x v="102"/>
    <n v="2"/>
  </r>
  <r>
    <x v="31"/>
    <x v="16"/>
    <n v="1"/>
  </r>
  <r>
    <x v="31"/>
    <x v="17"/>
    <n v="2"/>
  </r>
  <r>
    <x v="31"/>
    <x v="18"/>
    <n v="1"/>
  </r>
  <r>
    <x v="31"/>
    <x v="19"/>
    <n v="9"/>
  </r>
  <r>
    <x v="31"/>
    <x v="20"/>
    <n v="1"/>
  </r>
  <r>
    <x v="31"/>
    <x v="22"/>
    <n v="2"/>
  </r>
  <r>
    <x v="31"/>
    <x v="26"/>
    <n v="1"/>
  </r>
  <r>
    <x v="31"/>
    <x v="29"/>
    <n v="10"/>
  </r>
  <r>
    <x v="31"/>
    <x v="32"/>
    <n v="2"/>
  </r>
  <r>
    <x v="31"/>
    <x v="68"/>
    <n v="1"/>
  </r>
  <r>
    <x v="31"/>
    <x v="33"/>
    <n v="1"/>
  </r>
  <r>
    <x v="31"/>
    <x v="34"/>
    <n v="1"/>
  </r>
  <r>
    <x v="31"/>
    <x v="35"/>
    <n v="1"/>
  </r>
  <r>
    <x v="31"/>
    <x v="39"/>
    <n v="1"/>
  </r>
  <r>
    <x v="31"/>
    <x v="40"/>
    <n v="1"/>
  </r>
  <r>
    <x v="31"/>
    <x v="69"/>
    <n v="1"/>
  </r>
  <r>
    <x v="31"/>
    <x v="42"/>
    <n v="1"/>
  </r>
  <r>
    <x v="31"/>
    <x v="43"/>
    <n v="1"/>
  </r>
  <r>
    <x v="31"/>
    <x v="44"/>
    <n v="1"/>
  </r>
  <r>
    <x v="31"/>
    <x v="46"/>
    <n v="1"/>
  </r>
  <r>
    <x v="31"/>
    <x v="48"/>
    <n v="2"/>
  </r>
  <r>
    <x v="31"/>
    <x v="72"/>
    <n v="2"/>
  </r>
  <r>
    <x v="31"/>
    <x v="49"/>
    <n v="1"/>
  </r>
  <r>
    <x v="31"/>
    <x v="52"/>
    <n v="1"/>
  </r>
  <r>
    <x v="31"/>
    <x v="76"/>
    <n v="1"/>
  </r>
  <r>
    <x v="31"/>
    <x v="77"/>
    <n v="1"/>
  </r>
  <r>
    <x v="32"/>
    <x v="1"/>
    <n v="2"/>
  </r>
  <r>
    <x v="32"/>
    <x v="4"/>
    <n v="1"/>
  </r>
  <r>
    <x v="32"/>
    <x v="5"/>
    <n v="1"/>
  </r>
  <r>
    <x v="32"/>
    <x v="12"/>
    <n v="2"/>
  </r>
  <r>
    <x v="32"/>
    <x v="58"/>
    <n v="3"/>
  </r>
  <r>
    <x v="32"/>
    <x v="13"/>
    <n v="1"/>
  </r>
  <r>
    <x v="32"/>
    <x v="59"/>
    <n v="3"/>
  </r>
  <r>
    <x v="32"/>
    <x v="18"/>
    <n v="6"/>
  </r>
  <r>
    <x v="32"/>
    <x v="19"/>
    <n v="3"/>
  </r>
  <r>
    <x v="32"/>
    <x v="21"/>
    <n v="1"/>
  </r>
  <r>
    <x v="32"/>
    <x v="22"/>
    <n v="3"/>
  </r>
  <r>
    <x v="32"/>
    <x v="24"/>
    <n v="1"/>
  </r>
  <r>
    <x v="32"/>
    <x v="25"/>
    <n v="1"/>
  </r>
  <r>
    <x v="32"/>
    <x v="26"/>
    <n v="2"/>
  </r>
  <r>
    <x v="32"/>
    <x v="28"/>
    <n v="1"/>
  </r>
  <r>
    <x v="32"/>
    <x v="29"/>
    <n v="2"/>
  </r>
  <r>
    <x v="32"/>
    <x v="30"/>
    <n v="1"/>
  </r>
  <r>
    <x v="32"/>
    <x v="31"/>
    <n v="1"/>
  </r>
  <r>
    <x v="32"/>
    <x v="32"/>
    <n v="2"/>
  </r>
  <r>
    <x v="32"/>
    <x v="33"/>
    <n v="1"/>
  </r>
  <r>
    <x v="32"/>
    <x v="34"/>
    <n v="3"/>
  </r>
  <r>
    <x v="32"/>
    <x v="35"/>
    <n v="2"/>
  </r>
  <r>
    <x v="32"/>
    <x v="36"/>
    <n v="1"/>
  </r>
  <r>
    <x v="32"/>
    <x v="38"/>
    <n v="6"/>
  </r>
  <r>
    <x v="32"/>
    <x v="39"/>
    <n v="2"/>
  </r>
  <r>
    <x v="32"/>
    <x v="60"/>
    <n v="3"/>
  </r>
  <r>
    <x v="32"/>
    <x v="61"/>
    <n v="2"/>
  </r>
  <r>
    <x v="32"/>
    <x v="70"/>
    <n v="2"/>
  </r>
  <r>
    <x v="32"/>
    <x v="43"/>
    <n v="2"/>
  </r>
  <r>
    <x v="32"/>
    <x v="45"/>
    <n v="1"/>
  </r>
  <r>
    <x v="32"/>
    <x v="49"/>
    <n v="1"/>
  </r>
  <r>
    <x v="32"/>
    <x v="73"/>
    <n v="1"/>
  </r>
  <r>
    <x v="32"/>
    <x v="53"/>
    <n v="1"/>
  </r>
  <r>
    <x v="33"/>
    <x v="1"/>
    <n v="2"/>
  </r>
  <r>
    <x v="33"/>
    <x v="12"/>
    <n v="1"/>
  </r>
  <r>
    <x v="33"/>
    <x v="13"/>
    <n v="1"/>
  </r>
  <r>
    <x v="33"/>
    <x v="19"/>
    <n v="1"/>
  </r>
  <r>
    <x v="33"/>
    <x v="21"/>
    <n v="1"/>
  </r>
  <r>
    <x v="33"/>
    <x v="25"/>
    <n v="1"/>
  </r>
  <r>
    <x v="33"/>
    <x v="29"/>
    <n v="2"/>
  </r>
  <r>
    <x v="33"/>
    <x v="32"/>
    <n v="1"/>
  </r>
  <r>
    <x v="33"/>
    <x v="34"/>
    <n v="1"/>
  </r>
  <r>
    <x v="33"/>
    <x v="35"/>
    <n v="1"/>
  </r>
  <r>
    <x v="33"/>
    <x v="38"/>
    <n v="2"/>
  </r>
  <r>
    <x v="33"/>
    <x v="39"/>
    <n v="2"/>
  </r>
  <r>
    <x v="33"/>
    <x v="44"/>
    <n v="3"/>
  </r>
  <r>
    <x v="33"/>
    <x v="45"/>
    <n v="7"/>
  </r>
  <r>
    <x v="33"/>
    <x v="46"/>
    <n v="3"/>
  </r>
  <r>
    <x v="34"/>
    <x v="1"/>
    <n v="4"/>
  </r>
  <r>
    <x v="34"/>
    <x v="10"/>
    <n v="2"/>
  </r>
  <r>
    <x v="34"/>
    <x v="11"/>
    <n v="1"/>
  </r>
  <r>
    <x v="34"/>
    <x v="12"/>
    <n v="2"/>
  </r>
  <r>
    <x v="34"/>
    <x v="58"/>
    <n v="2"/>
  </r>
  <r>
    <x v="34"/>
    <x v="65"/>
    <n v="1"/>
  </r>
  <r>
    <x v="34"/>
    <x v="59"/>
    <n v="4"/>
  </r>
  <r>
    <x v="34"/>
    <x v="18"/>
    <n v="6"/>
  </r>
  <r>
    <x v="34"/>
    <x v="19"/>
    <n v="2"/>
  </r>
  <r>
    <x v="34"/>
    <x v="21"/>
    <n v="1"/>
  </r>
  <r>
    <x v="34"/>
    <x v="22"/>
    <n v="3"/>
  </r>
  <r>
    <x v="34"/>
    <x v="23"/>
    <n v="1"/>
  </r>
  <r>
    <x v="34"/>
    <x v="24"/>
    <n v="1"/>
  </r>
  <r>
    <x v="34"/>
    <x v="25"/>
    <n v="1"/>
  </r>
  <r>
    <x v="34"/>
    <x v="26"/>
    <n v="1"/>
  </r>
  <r>
    <x v="34"/>
    <x v="28"/>
    <n v="1"/>
  </r>
  <r>
    <x v="34"/>
    <x v="29"/>
    <n v="3"/>
  </r>
  <r>
    <x v="34"/>
    <x v="30"/>
    <n v="1"/>
  </r>
  <r>
    <x v="34"/>
    <x v="31"/>
    <n v="1"/>
  </r>
  <r>
    <x v="34"/>
    <x v="32"/>
    <n v="2"/>
  </r>
  <r>
    <x v="34"/>
    <x v="68"/>
    <n v="1"/>
  </r>
  <r>
    <x v="34"/>
    <x v="33"/>
    <n v="1"/>
  </r>
  <r>
    <x v="34"/>
    <x v="34"/>
    <n v="2"/>
  </r>
  <r>
    <x v="34"/>
    <x v="35"/>
    <n v="1"/>
  </r>
  <r>
    <x v="34"/>
    <x v="36"/>
    <n v="1"/>
  </r>
  <r>
    <x v="34"/>
    <x v="38"/>
    <n v="3"/>
  </r>
  <r>
    <x v="34"/>
    <x v="39"/>
    <n v="2"/>
  </r>
  <r>
    <x v="34"/>
    <x v="60"/>
    <n v="3"/>
  </r>
  <r>
    <x v="34"/>
    <x v="61"/>
    <n v="3"/>
  </r>
  <r>
    <x v="34"/>
    <x v="70"/>
    <n v="1"/>
  </r>
  <r>
    <x v="34"/>
    <x v="43"/>
    <n v="1"/>
  </r>
  <r>
    <x v="34"/>
    <x v="49"/>
    <n v="1"/>
  </r>
  <r>
    <x v="34"/>
    <x v="73"/>
    <n v="1"/>
  </r>
  <r>
    <x v="35"/>
    <x v="1"/>
    <n v="1"/>
  </r>
  <r>
    <x v="35"/>
    <x v="5"/>
    <n v="1"/>
  </r>
  <r>
    <x v="35"/>
    <x v="12"/>
    <n v="1"/>
  </r>
  <r>
    <x v="35"/>
    <x v="18"/>
    <n v="2"/>
  </r>
  <r>
    <x v="35"/>
    <x v="19"/>
    <n v="1"/>
  </r>
  <r>
    <x v="35"/>
    <x v="22"/>
    <n v="1"/>
  </r>
  <r>
    <x v="35"/>
    <x v="25"/>
    <n v="1"/>
  </r>
  <r>
    <x v="35"/>
    <x v="67"/>
    <n v="5"/>
  </r>
  <r>
    <x v="35"/>
    <x v="29"/>
    <n v="2"/>
  </r>
  <r>
    <x v="35"/>
    <x v="31"/>
    <n v="1"/>
  </r>
  <r>
    <x v="35"/>
    <x v="32"/>
    <n v="1"/>
  </r>
  <r>
    <x v="35"/>
    <x v="33"/>
    <n v="1"/>
  </r>
  <r>
    <x v="35"/>
    <x v="34"/>
    <n v="1"/>
  </r>
  <r>
    <x v="35"/>
    <x v="35"/>
    <n v="1"/>
  </r>
  <r>
    <x v="35"/>
    <x v="38"/>
    <n v="2"/>
  </r>
  <r>
    <x v="35"/>
    <x v="39"/>
    <n v="1"/>
  </r>
  <r>
    <x v="35"/>
    <x v="60"/>
    <n v="2"/>
  </r>
  <r>
    <x v="35"/>
    <x v="61"/>
    <n v="3"/>
  </r>
  <r>
    <x v="35"/>
    <x v="70"/>
    <n v="1"/>
  </r>
  <r>
    <x v="35"/>
    <x v="43"/>
    <n v="1"/>
  </r>
  <r>
    <x v="35"/>
    <x v="45"/>
    <n v="2"/>
  </r>
  <r>
    <x v="35"/>
    <x v="53"/>
    <n v="1"/>
  </r>
  <r>
    <x v="36"/>
    <x v="1"/>
    <n v="2"/>
  </r>
  <r>
    <x v="36"/>
    <x v="64"/>
    <n v="1"/>
  </r>
  <r>
    <x v="36"/>
    <x v="5"/>
    <n v="1"/>
  </r>
  <r>
    <x v="36"/>
    <x v="9"/>
    <n v="1"/>
  </r>
  <r>
    <x v="36"/>
    <x v="13"/>
    <n v="1"/>
  </r>
  <r>
    <x v="36"/>
    <x v="65"/>
    <n v="1"/>
  </r>
  <r>
    <x v="36"/>
    <x v="17"/>
    <n v="1"/>
  </r>
  <r>
    <x v="36"/>
    <x v="66"/>
    <n v="1"/>
  </r>
  <r>
    <x v="36"/>
    <x v="18"/>
    <n v="2"/>
  </r>
  <r>
    <x v="36"/>
    <x v="19"/>
    <n v="2"/>
  </r>
  <r>
    <x v="36"/>
    <x v="21"/>
    <n v="1"/>
  </r>
  <r>
    <x v="36"/>
    <x v="22"/>
    <n v="2"/>
  </r>
  <r>
    <x v="36"/>
    <x v="25"/>
    <n v="1"/>
  </r>
  <r>
    <x v="36"/>
    <x v="26"/>
    <n v="1"/>
  </r>
  <r>
    <x v="36"/>
    <x v="27"/>
    <n v="1"/>
  </r>
  <r>
    <x v="36"/>
    <x v="28"/>
    <n v="1"/>
  </r>
  <r>
    <x v="36"/>
    <x v="29"/>
    <n v="3"/>
  </r>
  <r>
    <x v="36"/>
    <x v="30"/>
    <n v="2"/>
  </r>
  <r>
    <x v="36"/>
    <x v="31"/>
    <n v="1"/>
  </r>
  <r>
    <x v="36"/>
    <x v="32"/>
    <n v="2"/>
  </r>
  <r>
    <x v="36"/>
    <x v="68"/>
    <n v="2"/>
  </r>
  <r>
    <x v="36"/>
    <x v="33"/>
    <n v="1"/>
  </r>
  <r>
    <x v="36"/>
    <x v="34"/>
    <n v="2"/>
  </r>
  <r>
    <x v="36"/>
    <x v="35"/>
    <n v="1"/>
  </r>
  <r>
    <x v="36"/>
    <x v="36"/>
    <n v="1"/>
  </r>
  <r>
    <x v="36"/>
    <x v="38"/>
    <n v="6"/>
  </r>
  <r>
    <x v="36"/>
    <x v="39"/>
    <n v="1"/>
  </r>
  <r>
    <x v="36"/>
    <x v="60"/>
    <n v="2"/>
  </r>
  <r>
    <x v="36"/>
    <x v="61"/>
    <n v="2"/>
  </r>
  <r>
    <x v="36"/>
    <x v="79"/>
    <n v="1"/>
  </r>
  <r>
    <x v="36"/>
    <x v="69"/>
    <n v="1"/>
  </r>
  <r>
    <x v="36"/>
    <x v="42"/>
    <n v="1"/>
  </r>
  <r>
    <x v="36"/>
    <x v="70"/>
    <n v="4"/>
  </r>
  <r>
    <x v="36"/>
    <x v="43"/>
    <n v="1"/>
  </r>
  <r>
    <x v="36"/>
    <x v="45"/>
    <n v="2"/>
  </r>
  <r>
    <x v="36"/>
    <x v="49"/>
    <n v="1"/>
  </r>
  <r>
    <x v="36"/>
    <x v="50"/>
    <n v="1"/>
  </r>
  <r>
    <x v="36"/>
    <x v="73"/>
    <n v="1"/>
  </r>
  <r>
    <x v="36"/>
    <x v="74"/>
    <n v="1"/>
  </r>
  <r>
    <x v="36"/>
    <x v="53"/>
    <n v="1"/>
  </r>
  <r>
    <x v="36"/>
    <x v="54"/>
    <n v="2"/>
  </r>
  <r>
    <x v="36"/>
    <x v="56"/>
    <n v="1"/>
  </r>
  <r>
    <x v="36"/>
    <x v="75"/>
    <n v="1"/>
  </r>
  <r>
    <x v="36"/>
    <x v="78"/>
    <n v="1"/>
  </r>
  <r>
    <x v="36"/>
    <x v="57"/>
    <n v="1"/>
  </r>
  <r>
    <x v="37"/>
    <x v="1"/>
    <n v="1"/>
  </r>
  <r>
    <x v="37"/>
    <x v="5"/>
    <n v="1"/>
  </r>
  <r>
    <x v="37"/>
    <x v="10"/>
    <n v="1"/>
  </r>
  <r>
    <x v="37"/>
    <x v="11"/>
    <n v="1"/>
  </r>
  <r>
    <x v="37"/>
    <x v="12"/>
    <n v="3"/>
  </r>
  <r>
    <x v="37"/>
    <x v="58"/>
    <n v="1"/>
  </r>
  <r>
    <x v="37"/>
    <x v="65"/>
    <n v="1"/>
  </r>
  <r>
    <x v="37"/>
    <x v="18"/>
    <n v="4"/>
  </r>
  <r>
    <x v="37"/>
    <x v="19"/>
    <n v="1"/>
  </r>
  <r>
    <x v="37"/>
    <x v="21"/>
    <n v="1"/>
  </r>
  <r>
    <x v="37"/>
    <x v="22"/>
    <n v="2"/>
  </r>
  <r>
    <x v="37"/>
    <x v="25"/>
    <n v="1"/>
  </r>
  <r>
    <x v="37"/>
    <x v="26"/>
    <n v="1"/>
  </r>
  <r>
    <x v="37"/>
    <x v="27"/>
    <n v="1"/>
  </r>
  <r>
    <x v="37"/>
    <x v="29"/>
    <n v="3"/>
  </r>
  <r>
    <x v="37"/>
    <x v="31"/>
    <n v="2"/>
  </r>
  <r>
    <x v="37"/>
    <x v="32"/>
    <n v="2"/>
  </r>
  <r>
    <x v="37"/>
    <x v="33"/>
    <n v="1"/>
  </r>
  <r>
    <x v="37"/>
    <x v="34"/>
    <n v="2"/>
  </r>
  <r>
    <x v="37"/>
    <x v="35"/>
    <n v="1"/>
  </r>
  <r>
    <x v="37"/>
    <x v="36"/>
    <n v="1"/>
  </r>
  <r>
    <x v="37"/>
    <x v="38"/>
    <n v="2"/>
  </r>
  <r>
    <x v="37"/>
    <x v="60"/>
    <n v="4"/>
  </r>
  <r>
    <x v="37"/>
    <x v="61"/>
    <n v="1"/>
  </r>
  <r>
    <x v="37"/>
    <x v="70"/>
    <n v="1"/>
  </r>
  <r>
    <x v="37"/>
    <x v="43"/>
    <n v="2"/>
  </r>
  <r>
    <x v="37"/>
    <x v="45"/>
    <n v="1"/>
  </r>
  <r>
    <x v="37"/>
    <x v="49"/>
    <n v="1"/>
  </r>
  <r>
    <x v="37"/>
    <x v="50"/>
    <n v="1"/>
  </r>
  <r>
    <x v="37"/>
    <x v="53"/>
    <n v="2"/>
  </r>
  <r>
    <x v="37"/>
    <x v="62"/>
    <n v="1"/>
  </r>
  <r>
    <x v="38"/>
    <x v="4"/>
    <n v="1"/>
  </r>
  <r>
    <x v="38"/>
    <x v="18"/>
    <n v="2"/>
  </r>
  <r>
    <x v="38"/>
    <x v="22"/>
    <n v="3"/>
  </r>
  <r>
    <x v="38"/>
    <x v="25"/>
    <n v="1"/>
  </r>
  <r>
    <x v="38"/>
    <x v="28"/>
    <n v="1"/>
  </r>
  <r>
    <x v="38"/>
    <x v="29"/>
    <n v="1"/>
  </r>
  <r>
    <x v="38"/>
    <x v="30"/>
    <n v="1"/>
  </r>
  <r>
    <x v="38"/>
    <x v="31"/>
    <n v="1"/>
  </r>
  <r>
    <x v="38"/>
    <x v="34"/>
    <n v="2"/>
  </r>
  <r>
    <x v="38"/>
    <x v="38"/>
    <n v="2"/>
  </r>
  <r>
    <x v="38"/>
    <x v="61"/>
    <n v="2"/>
  </r>
  <r>
    <x v="38"/>
    <x v="69"/>
    <n v="1"/>
  </r>
  <r>
    <x v="38"/>
    <x v="45"/>
    <n v="2"/>
  </r>
  <r>
    <x v="38"/>
    <x v="51"/>
    <n v="1"/>
  </r>
  <r>
    <x v="38"/>
    <x v="52"/>
    <n v="1"/>
  </r>
  <r>
    <x v="38"/>
    <x v="54"/>
    <n v="2"/>
  </r>
  <r>
    <x v="38"/>
    <x v="75"/>
    <n v="2"/>
  </r>
  <r>
    <x v="39"/>
    <x v="1"/>
    <n v="1"/>
  </r>
  <r>
    <x v="39"/>
    <x v="58"/>
    <n v="2"/>
  </r>
  <r>
    <x v="39"/>
    <x v="13"/>
    <n v="1"/>
  </r>
  <r>
    <x v="39"/>
    <x v="59"/>
    <n v="2"/>
  </r>
  <r>
    <x v="39"/>
    <x v="18"/>
    <n v="5"/>
  </r>
  <r>
    <x v="39"/>
    <x v="19"/>
    <n v="1"/>
  </r>
  <r>
    <x v="39"/>
    <x v="22"/>
    <n v="1"/>
  </r>
  <r>
    <x v="39"/>
    <x v="24"/>
    <n v="1"/>
  </r>
  <r>
    <x v="39"/>
    <x v="26"/>
    <n v="1"/>
  </r>
  <r>
    <x v="39"/>
    <x v="28"/>
    <n v="1"/>
  </r>
  <r>
    <x v="39"/>
    <x v="29"/>
    <n v="3"/>
  </r>
  <r>
    <x v="39"/>
    <x v="33"/>
    <n v="1"/>
  </r>
  <r>
    <x v="39"/>
    <x v="34"/>
    <n v="1"/>
  </r>
  <r>
    <x v="39"/>
    <x v="35"/>
    <n v="2"/>
  </r>
  <r>
    <x v="39"/>
    <x v="36"/>
    <n v="1"/>
  </r>
  <r>
    <x v="39"/>
    <x v="38"/>
    <n v="2"/>
  </r>
  <r>
    <x v="39"/>
    <x v="39"/>
    <n v="1"/>
  </r>
  <r>
    <x v="39"/>
    <x v="60"/>
    <n v="2"/>
  </r>
  <r>
    <x v="39"/>
    <x v="61"/>
    <n v="2"/>
  </r>
  <r>
    <x v="39"/>
    <x v="43"/>
    <n v="1"/>
  </r>
  <r>
    <x v="39"/>
    <x v="73"/>
    <n v="1"/>
  </r>
  <r>
    <x v="40"/>
    <x v="4"/>
    <n v="1"/>
  </r>
  <r>
    <x v="40"/>
    <x v="5"/>
    <n v="1"/>
  </r>
  <r>
    <x v="40"/>
    <x v="12"/>
    <n v="1"/>
  </r>
  <r>
    <x v="40"/>
    <x v="58"/>
    <n v="1"/>
  </r>
  <r>
    <x v="40"/>
    <x v="59"/>
    <n v="1"/>
  </r>
  <r>
    <x v="40"/>
    <x v="66"/>
    <n v="1"/>
  </r>
  <r>
    <x v="40"/>
    <x v="18"/>
    <n v="1"/>
  </r>
  <r>
    <x v="40"/>
    <x v="23"/>
    <n v="1"/>
  </r>
  <r>
    <x v="40"/>
    <x v="24"/>
    <n v="1"/>
  </r>
  <r>
    <x v="40"/>
    <x v="25"/>
    <n v="2"/>
  </r>
  <r>
    <x v="40"/>
    <x v="26"/>
    <n v="1"/>
  </r>
  <r>
    <x v="40"/>
    <x v="67"/>
    <n v="1"/>
  </r>
  <r>
    <x v="40"/>
    <x v="27"/>
    <n v="1"/>
  </r>
  <r>
    <x v="40"/>
    <x v="28"/>
    <n v="1"/>
  </r>
  <r>
    <x v="40"/>
    <x v="29"/>
    <n v="2"/>
  </r>
  <r>
    <x v="40"/>
    <x v="31"/>
    <n v="1"/>
  </r>
  <r>
    <x v="40"/>
    <x v="68"/>
    <n v="2"/>
  </r>
  <r>
    <x v="40"/>
    <x v="33"/>
    <n v="1"/>
  </r>
  <r>
    <x v="40"/>
    <x v="34"/>
    <n v="2"/>
  </r>
  <r>
    <x v="40"/>
    <x v="35"/>
    <n v="2"/>
  </r>
  <r>
    <x v="40"/>
    <x v="36"/>
    <n v="1"/>
  </r>
  <r>
    <x v="40"/>
    <x v="38"/>
    <n v="5"/>
  </r>
  <r>
    <x v="40"/>
    <x v="39"/>
    <n v="2"/>
  </r>
  <r>
    <x v="40"/>
    <x v="60"/>
    <n v="3"/>
  </r>
  <r>
    <x v="40"/>
    <x v="61"/>
    <n v="6"/>
  </r>
  <r>
    <x v="40"/>
    <x v="70"/>
    <n v="2"/>
  </r>
  <r>
    <x v="40"/>
    <x v="43"/>
    <n v="1"/>
  </r>
  <r>
    <x v="40"/>
    <x v="45"/>
    <n v="1"/>
  </r>
  <r>
    <x v="40"/>
    <x v="49"/>
    <n v="1"/>
  </r>
  <r>
    <x v="40"/>
    <x v="53"/>
    <n v="3"/>
  </r>
  <r>
    <x v="40"/>
    <x v="62"/>
    <n v="1"/>
  </r>
  <r>
    <x v="41"/>
    <x v="1"/>
    <n v="3"/>
  </r>
  <r>
    <x v="41"/>
    <x v="4"/>
    <n v="1"/>
  </r>
  <r>
    <x v="41"/>
    <x v="10"/>
    <n v="1"/>
  </r>
  <r>
    <x v="41"/>
    <x v="11"/>
    <n v="1"/>
  </r>
  <r>
    <x v="41"/>
    <x v="12"/>
    <n v="2"/>
  </r>
  <r>
    <x v="41"/>
    <x v="58"/>
    <n v="3"/>
  </r>
  <r>
    <x v="41"/>
    <x v="13"/>
    <n v="1"/>
  </r>
  <r>
    <x v="41"/>
    <x v="65"/>
    <n v="1"/>
  </r>
  <r>
    <x v="41"/>
    <x v="59"/>
    <n v="1"/>
  </r>
  <r>
    <x v="41"/>
    <x v="66"/>
    <n v="1"/>
  </r>
  <r>
    <x v="41"/>
    <x v="18"/>
    <n v="4"/>
  </r>
  <r>
    <x v="41"/>
    <x v="21"/>
    <n v="1"/>
  </r>
  <r>
    <x v="41"/>
    <x v="22"/>
    <n v="1"/>
  </r>
  <r>
    <x v="41"/>
    <x v="25"/>
    <n v="2"/>
  </r>
  <r>
    <x v="41"/>
    <x v="26"/>
    <n v="1"/>
  </r>
  <r>
    <x v="41"/>
    <x v="27"/>
    <n v="1"/>
  </r>
  <r>
    <x v="41"/>
    <x v="28"/>
    <n v="1"/>
  </r>
  <r>
    <x v="41"/>
    <x v="29"/>
    <n v="6"/>
  </r>
  <r>
    <x v="41"/>
    <x v="31"/>
    <n v="1"/>
  </r>
  <r>
    <x v="41"/>
    <x v="32"/>
    <n v="2"/>
  </r>
  <r>
    <x v="41"/>
    <x v="68"/>
    <n v="1"/>
  </r>
  <r>
    <x v="41"/>
    <x v="33"/>
    <n v="1"/>
  </r>
  <r>
    <x v="41"/>
    <x v="34"/>
    <n v="2"/>
  </r>
  <r>
    <x v="41"/>
    <x v="35"/>
    <n v="2"/>
  </r>
  <r>
    <x v="41"/>
    <x v="36"/>
    <n v="2"/>
  </r>
  <r>
    <x v="41"/>
    <x v="38"/>
    <n v="4"/>
  </r>
  <r>
    <x v="41"/>
    <x v="39"/>
    <n v="1"/>
  </r>
  <r>
    <x v="41"/>
    <x v="60"/>
    <n v="2"/>
  </r>
  <r>
    <x v="41"/>
    <x v="61"/>
    <n v="3"/>
  </r>
  <r>
    <x v="41"/>
    <x v="70"/>
    <n v="2"/>
  </r>
  <r>
    <x v="41"/>
    <x v="43"/>
    <n v="1"/>
  </r>
  <r>
    <x v="41"/>
    <x v="45"/>
    <n v="1"/>
  </r>
  <r>
    <x v="41"/>
    <x v="49"/>
    <n v="1"/>
  </r>
  <r>
    <x v="42"/>
    <x v="5"/>
    <n v="1"/>
  </r>
  <r>
    <x v="42"/>
    <x v="12"/>
    <n v="5"/>
  </r>
  <r>
    <x v="42"/>
    <x v="58"/>
    <n v="1"/>
  </r>
  <r>
    <x v="42"/>
    <x v="59"/>
    <n v="4"/>
  </r>
  <r>
    <x v="42"/>
    <x v="18"/>
    <n v="2"/>
  </r>
  <r>
    <x v="42"/>
    <x v="22"/>
    <n v="2"/>
  </r>
  <r>
    <x v="42"/>
    <x v="23"/>
    <n v="1"/>
  </r>
  <r>
    <x v="42"/>
    <x v="25"/>
    <n v="2"/>
  </r>
  <r>
    <x v="42"/>
    <x v="27"/>
    <n v="1"/>
  </r>
  <r>
    <x v="42"/>
    <x v="28"/>
    <n v="1"/>
  </r>
  <r>
    <x v="42"/>
    <x v="29"/>
    <n v="3"/>
  </r>
  <r>
    <x v="42"/>
    <x v="30"/>
    <n v="1"/>
  </r>
  <r>
    <x v="42"/>
    <x v="68"/>
    <n v="1"/>
  </r>
  <r>
    <x v="42"/>
    <x v="33"/>
    <n v="1"/>
  </r>
  <r>
    <x v="42"/>
    <x v="34"/>
    <n v="2"/>
  </r>
  <r>
    <x v="42"/>
    <x v="35"/>
    <n v="1"/>
  </r>
  <r>
    <x v="42"/>
    <x v="36"/>
    <n v="1"/>
  </r>
  <r>
    <x v="42"/>
    <x v="39"/>
    <n v="3"/>
  </r>
  <r>
    <x v="42"/>
    <x v="60"/>
    <n v="3"/>
  </r>
  <r>
    <x v="42"/>
    <x v="61"/>
    <n v="2"/>
  </r>
  <r>
    <x v="42"/>
    <x v="70"/>
    <n v="4"/>
  </r>
  <r>
    <x v="42"/>
    <x v="43"/>
    <n v="1"/>
  </r>
  <r>
    <x v="42"/>
    <x v="45"/>
    <n v="4"/>
  </r>
  <r>
    <x v="42"/>
    <x v="53"/>
    <n v="2"/>
  </r>
  <r>
    <x v="42"/>
    <x v="75"/>
    <n v="2"/>
  </r>
  <r>
    <x v="42"/>
    <x v="62"/>
    <n v="2"/>
  </r>
  <r>
    <x v="43"/>
    <x v="84"/>
    <n v="2"/>
  </r>
  <r>
    <x v="43"/>
    <x v="0"/>
    <n v="2"/>
  </r>
  <r>
    <x v="43"/>
    <x v="1"/>
    <n v="2"/>
  </r>
  <r>
    <x v="43"/>
    <x v="2"/>
    <n v="1"/>
  </r>
  <r>
    <x v="43"/>
    <x v="64"/>
    <n v="1"/>
  </r>
  <r>
    <x v="43"/>
    <x v="4"/>
    <n v="1"/>
  </r>
  <r>
    <x v="43"/>
    <x v="5"/>
    <n v="1"/>
  </r>
  <r>
    <x v="43"/>
    <x v="6"/>
    <n v="3"/>
  </r>
  <r>
    <x v="43"/>
    <x v="88"/>
    <n v="2"/>
  </r>
  <r>
    <x v="43"/>
    <x v="100"/>
    <n v="1"/>
  </r>
  <r>
    <x v="43"/>
    <x v="7"/>
    <n v="1"/>
  </r>
  <r>
    <x v="43"/>
    <x v="90"/>
    <n v="4"/>
  </r>
  <r>
    <x v="43"/>
    <x v="9"/>
    <n v="1"/>
  </r>
  <r>
    <x v="43"/>
    <x v="10"/>
    <n v="1"/>
  </r>
  <r>
    <x v="43"/>
    <x v="11"/>
    <n v="1"/>
  </r>
  <r>
    <x v="43"/>
    <x v="12"/>
    <n v="4"/>
  </r>
  <r>
    <x v="43"/>
    <x v="58"/>
    <n v="4"/>
  </r>
  <r>
    <x v="43"/>
    <x v="13"/>
    <n v="1"/>
  </r>
  <r>
    <x v="43"/>
    <x v="15"/>
    <n v="2"/>
  </r>
  <r>
    <x v="43"/>
    <x v="91"/>
    <n v="1"/>
  </r>
  <r>
    <x v="43"/>
    <x v="16"/>
    <n v="1"/>
  </r>
  <r>
    <x v="43"/>
    <x v="17"/>
    <n v="8"/>
  </r>
  <r>
    <x v="43"/>
    <x v="18"/>
    <n v="5"/>
  </r>
  <r>
    <x v="43"/>
    <x v="23"/>
    <n v="3"/>
  </r>
  <r>
    <x v="43"/>
    <x v="25"/>
    <n v="2"/>
  </r>
  <r>
    <x v="43"/>
    <x v="26"/>
    <n v="1"/>
  </r>
  <r>
    <x v="43"/>
    <x v="28"/>
    <n v="2"/>
  </r>
  <r>
    <x v="43"/>
    <x v="96"/>
    <n v="1"/>
  </r>
  <r>
    <x v="43"/>
    <x v="35"/>
    <n v="3"/>
  </r>
  <r>
    <x v="43"/>
    <x v="39"/>
    <n v="2"/>
  </r>
  <r>
    <x v="43"/>
    <x v="61"/>
    <n v="11"/>
  </r>
  <r>
    <x v="43"/>
    <x v="69"/>
    <n v="6"/>
  </r>
  <r>
    <x v="43"/>
    <x v="42"/>
    <n v="3"/>
  </r>
  <r>
    <x v="43"/>
    <x v="43"/>
    <n v="1"/>
  </r>
  <r>
    <x v="43"/>
    <x v="44"/>
    <n v="2"/>
  </r>
  <r>
    <x v="43"/>
    <x v="45"/>
    <n v="1"/>
  </r>
  <r>
    <x v="43"/>
    <x v="49"/>
    <n v="2"/>
  </r>
  <r>
    <x v="43"/>
    <x v="50"/>
    <n v="2"/>
  </r>
  <r>
    <x v="43"/>
    <x v="51"/>
    <n v="1"/>
  </r>
  <r>
    <x v="43"/>
    <x v="73"/>
    <n v="1"/>
  </r>
  <r>
    <x v="43"/>
    <x v="52"/>
    <n v="4"/>
  </r>
  <r>
    <x v="43"/>
    <x v="81"/>
    <n v="2"/>
  </r>
  <r>
    <x v="43"/>
    <x v="82"/>
    <n v="2"/>
  </r>
  <r>
    <x v="43"/>
    <x v="53"/>
    <n v="5"/>
  </r>
  <r>
    <x v="43"/>
    <x v="55"/>
    <n v="1"/>
  </r>
  <r>
    <x v="44"/>
    <x v="0"/>
    <n v="1"/>
  </r>
  <r>
    <x v="44"/>
    <x v="1"/>
    <n v="6"/>
  </r>
  <r>
    <x v="44"/>
    <x v="63"/>
    <n v="1"/>
  </r>
  <r>
    <x v="44"/>
    <x v="93"/>
    <n v="1"/>
  </r>
  <r>
    <x v="44"/>
    <x v="2"/>
    <n v="2"/>
  </r>
  <r>
    <x v="44"/>
    <x v="64"/>
    <n v="2"/>
  </r>
  <r>
    <x v="44"/>
    <x v="4"/>
    <n v="2"/>
  </r>
  <r>
    <x v="44"/>
    <x v="5"/>
    <n v="2"/>
  </r>
  <r>
    <x v="44"/>
    <x v="6"/>
    <n v="3"/>
  </r>
  <r>
    <x v="44"/>
    <x v="87"/>
    <n v="1"/>
  </r>
  <r>
    <x v="44"/>
    <x v="89"/>
    <n v="1"/>
  </r>
  <r>
    <x v="44"/>
    <x v="105"/>
    <n v="1"/>
  </r>
  <r>
    <x v="44"/>
    <x v="7"/>
    <n v="1"/>
  </r>
  <r>
    <x v="44"/>
    <x v="90"/>
    <n v="10"/>
  </r>
  <r>
    <x v="44"/>
    <x v="94"/>
    <n v="1"/>
  </r>
  <r>
    <x v="44"/>
    <x v="9"/>
    <n v="2"/>
  </r>
  <r>
    <x v="44"/>
    <x v="10"/>
    <n v="2"/>
  </r>
  <r>
    <x v="44"/>
    <x v="11"/>
    <n v="2"/>
  </r>
  <r>
    <x v="44"/>
    <x v="12"/>
    <n v="10"/>
  </r>
  <r>
    <x v="44"/>
    <x v="58"/>
    <n v="5"/>
  </r>
  <r>
    <x v="44"/>
    <x v="13"/>
    <n v="3"/>
  </r>
  <r>
    <x v="44"/>
    <x v="102"/>
    <n v="1"/>
  </r>
  <r>
    <x v="44"/>
    <x v="15"/>
    <n v="1"/>
  </r>
  <r>
    <x v="44"/>
    <x v="91"/>
    <n v="1"/>
  </r>
  <r>
    <x v="44"/>
    <x v="16"/>
    <n v="2"/>
  </r>
  <r>
    <x v="44"/>
    <x v="59"/>
    <n v="8"/>
  </r>
  <r>
    <x v="44"/>
    <x v="18"/>
    <n v="10"/>
  </r>
  <r>
    <x v="44"/>
    <x v="19"/>
    <n v="2"/>
  </r>
  <r>
    <x v="44"/>
    <x v="21"/>
    <n v="3"/>
  </r>
  <r>
    <x v="44"/>
    <x v="22"/>
    <n v="13"/>
  </r>
  <r>
    <x v="44"/>
    <x v="23"/>
    <n v="2"/>
  </r>
  <r>
    <x v="44"/>
    <x v="25"/>
    <n v="2"/>
  </r>
  <r>
    <x v="44"/>
    <x v="99"/>
    <n v="1"/>
  </r>
  <r>
    <x v="44"/>
    <x v="67"/>
    <n v="2"/>
  </r>
  <r>
    <x v="44"/>
    <x v="27"/>
    <n v="2"/>
  </r>
  <r>
    <x v="44"/>
    <x v="29"/>
    <n v="10"/>
  </r>
  <r>
    <x v="44"/>
    <x v="30"/>
    <n v="1"/>
  </r>
  <r>
    <x v="44"/>
    <x v="31"/>
    <n v="3"/>
  </r>
  <r>
    <x v="44"/>
    <x v="32"/>
    <n v="3"/>
  </r>
  <r>
    <x v="44"/>
    <x v="68"/>
    <n v="4"/>
  </r>
  <r>
    <x v="44"/>
    <x v="33"/>
    <n v="4"/>
  </r>
  <r>
    <x v="44"/>
    <x v="34"/>
    <n v="2"/>
  </r>
  <r>
    <x v="44"/>
    <x v="35"/>
    <n v="5"/>
  </r>
  <r>
    <x v="44"/>
    <x v="36"/>
    <n v="4"/>
  </r>
  <r>
    <x v="44"/>
    <x v="38"/>
    <n v="10"/>
  </r>
  <r>
    <x v="44"/>
    <x v="39"/>
    <n v="4"/>
  </r>
  <r>
    <x v="44"/>
    <x v="40"/>
    <n v="3"/>
  </r>
  <r>
    <x v="44"/>
    <x v="60"/>
    <n v="4"/>
  </r>
  <r>
    <x v="44"/>
    <x v="61"/>
    <n v="8"/>
  </r>
  <r>
    <x v="44"/>
    <x v="41"/>
    <n v="1"/>
  </r>
  <r>
    <x v="44"/>
    <x v="79"/>
    <n v="2"/>
  </r>
  <r>
    <x v="44"/>
    <x v="69"/>
    <n v="5"/>
  </r>
  <r>
    <x v="44"/>
    <x v="42"/>
    <n v="3"/>
  </r>
  <r>
    <x v="44"/>
    <x v="43"/>
    <n v="4"/>
  </r>
  <r>
    <x v="44"/>
    <x v="44"/>
    <n v="3"/>
  </r>
  <r>
    <x v="44"/>
    <x v="47"/>
    <n v="2"/>
  </r>
  <r>
    <x v="44"/>
    <x v="49"/>
    <n v="1"/>
  </r>
  <r>
    <x v="44"/>
    <x v="50"/>
    <n v="1"/>
  </r>
  <r>
    <x v="44"/>
    <x v="51"/>
    <n v="1"/>
  </r>
  <r>
    <x v="44"/>
    <x v="73"/>
    <n v="1"/>
  </r>
  <r>
    <x v="44"/>
    <x v="74"/>
    <n v="4"/>
  </r>
  <r>
    <x v="44"/>
    <x v="82"/>
    <n v="3"/>
  </r>
  <r>
    <x v="44"/>
    <x v="53"/>
    <n v="3"/>
  </r>
  <r>
    <x v="44"/>
    <x v="54"/>
    <n v="4"/>
  </r>
  <r>
    <x v="44"/>
    <x v="55"/>
    <n v="2"/>
  </r>
  <r>
    <x v="44"/>
    <x v="56"/>
    <n v="1"/>
  </r>
  <r>
    <x v="44"/>
    <x v="77"/>
    <n v="1"/>
  </r>
  <r>
    <x v="44"/>
    <x v="98"/>
    <n v="1"/>
  </r>
  <r>
    <x v="45"/>
    <x v="4"/>
    <n v="1"/>
  </r>
  <r>
    <x v="45"/>
    <x v="5"/>
    <n v="1"/>
  </r>
  <r>
    <x v="45"/>
    <x v="10"/>
    <n v="2"/>
  </r>
  <r>
    <x v="45"/>
    <x v="11"/>
    <n v="1"/>
  </r>
  <r>
    <x v="45"/>
    <x v="58"/>
    <n v="4"/>
  </r>
  <r>
    <x v="45"/>
    <x v="16"/>
    <n v="1"/>
  </r>
  <r>
    <x v="45"/>
    <x v="17"/>
    <n v="4"/>
  </r>
  <r>
    <x v="45"/>
    <x v="18"/>
    <n v="3"/>
  </r>
  <r>
    <x v="45"/>
    <x v="21"/>
    <n v="1"/>
  </r>
  <r>
    <x v="45"/>
    <x v="22"/>
    <n v="2"/>
  </r>
  <r>
    <x v="45"/>
    <x v="23"/>
    <n v="1"/>
  </r>
  <r>
    <x v="45"/>
    <x v="25"/>
    <n v="1"/>
  </r>
  <r>
    <x v="45"/>
    <x v="26"/>
    <n v="1"/>
  </r>
  <r>
    <x v="45"/>
    <x v="27"/>
    <n v="1"/>
  </r>
  <r>
    <x v="45"/>
    <x v="28"/>
    <n v="1"/>
  </r>
  <r>
    <x v="45"/>
    <x v="29"/>
    <n v="2"/>
  </r>
  <r>
    <x v="45"/>
    <x v="32"/>
    <n v="1"/>
  </r>
  <r>
    <x v="45"/>
    <x v="68"/>
    <n v="1"/>
  </r>
  <r>
    <x v="45"/>
    <x v="35"/>
    <n v="2"/>
  </r>
  <r>
    <x v="45"/>
    <x v="36"/>
    <n v="2"/>
  </r>
  <r>
    <x v="45"/>
    <x v="38"/>
    <n v="6"/>
  </r>
  <r>
    <x v="45"/>
    <x v="39"/>
    <n v="2"/>
  </r>
  <r>
    <x v="45"/>
    <x v="60"/>
    <n v="2"/>
  </r>
  <r>
    <x v="45"/>
    <x v="61"/>
    <n v="3"/>
  </r>
  <r>
    <x v="45"/>
    <x v="70"/>
    <n v="1"/>
  </r>
  <r>
    <x v="45"/>
    <x v="43"/>
    <n v="1"/>
  </r>
  <r>
    <x v="45"/>
    <x v="45"/>
    <n v="1"/>
  </r>
  <r>
    <x v="45"/>
    <x v="80"/>
    <n v="1"/>
  </r>
  <r>
    <x v="45"/>
    <x v="47"/>
    <n v="2"/>
  </r>
  <r>
    <x v="45"/>
    <x v="49"/>
    <n v="1"/>
  </r>
  <r>
    <x v="45"/>
    <x v="50"/>
    <n v="1"/>
  </r>
  <r>
    <x v="45"/>
    <x v="53"/>
    <n v="1"/>
  </r>
  <r>
    <x v="46"/>
    <x v="1"/>
    <n v="2"/>
  </r>
  <r>
    <x v="46"/>
    <x v="58"/>
    <n v="2"/>
  </r>
  <r>
    <x v="46"/>
    <x v="59"/>
    <n v="1"/>
  </r>
  <r>
    <x v="46"/>
    <x v="18"/>
    <n v="2"/>
  </r>
  <r>
    <x v="46"/>
    <x v="19"/>
    <n v="3"/>
  </r>
  <r>
    <x v="46"/>
    <x v="25"/>
    <n v="1"/>
  </r>
  <r>
    <x v="46"/>
    <x v="67"/>
    <n v="2"/>
  </r>
  <r>
    <x v="46"/>
    <x v="29"/>
    <n v="2"/>
  </r>
  <r>
    <x v="46"/>
    <x v="31"/>
    <n v="1"/>
  </r>
  <r>
    <x v="46"/>
    <x v="33"/>
    <n v="1"/>
  </r>
  <r>
    <x v="46"/>
    <x v="35"/>
    <n v="1"/>
  </r>
  <r>
    <x v="46"/>
    <x v="36"/>
    <n v="1"/>
  </r>
  <r>
    <x v="46"/>
    <x v="38"/>
    <n v="2"/>
  </r>
  <r>
    <x v="46"/>
    <x v="39"/>
    <n v="1"/>
  </r>
  <r>
    <x v="46"/>
    <x v="60"/>
    <n v="1"/>
  </r>
  <r>
    <x v="46"/>
    <x v="43"/>
    <n v="1"/>
  </r>
  <r>
    <x v="46"/>
    <x v="45"/>
    <n v="1"/>
  </r>
  <r>
    <x v="46"/>
    <x v="49"/>
    <n v="1"/>
  </r>
  <r>
    <x v="47"/>
    <x v="1"/>
    <n v="1"/>
  </r>
  <r>
    <x v="47"/>
    <x v="4"/>
    <n v="1"/>
  </r>
  <r>
    <x v="47"/>
    <x v="10"/>
    <n v="1"/>
  </r>
  <r>
    <x v="47"/>
    <x v="12"/>
    <n v="2"/>
  </r>
  <r>
    <x v="47"/>
    <x v="58"/>
    <n v="4"/>
  </r>
  <r>
    <x v="47"/>
    <x v="13"/>
    <n v="1"/>
  </r>
  <r>
    <x v="47"/>
    <x v="65"/>
    <n v="1"/>
  </r>
  <r>
    <x v="47"/>
    <x v="59"/>
    <n v="1"/>
  </r>
  <r>
    <x v="47"/>
    <x v="66"/>
    <n v="1"/>
  </r>
  <r>
    <x v="47"/>
    <x v="18"/>
    <n v="8"/>
  </r>
  <r>
    <x v="47"/>
    <x v="21"/>
    <n v="1"/>
  </r>
  <r>
    <x v="47"/>
    <x v="22"/>
    <n v="2"/>
  </r>
  <r>
    <x v="47"/>
    <x v="25"/>
    <n v="1"/>
  </r>
  <r>
    <x v="47"/>
    <x v="26"/>
    <n v="1"/>
  </r>
  <r>
    <x v="47"/>
    <x v="27"/>
    <n v="1"/>
  </r>
  <r>
    <x v="47"/>
    <x v="28"/>
    <n v="1"/>
  </r>
  <r>
    <x v="47"/>
    <x v="29"/>
    <n v="3"/>
  </r>
  <r>
    <x v="47"/>
    <x v="32"/>
    <n v="2"/>
  </r>
  <r>
    <x v="47"/>
    <x v="68"/>
    <n v="1"/>
  </r>
  <r>
    <x v="47"/>
    <x v="33"/>
    <n v="1"/>
  </r>
  <r>
    <x v="47"/>
    <x v="34"/>
    <n v="2"/>
  </r>
  <r>
    <x v="47"/>
    <x v="35"/>
    <n v="1"/>
  </r>
  <r>
    <x v="47"/>
    <x v="36"/>
    <n v="1"/>
  </r>
  <r>
    <x v="47"/>
    <x v="38"/>
    <n v="4"/>
  </r>
  <r>
    <x v="47"/>
    <x v="39"/>
    <n v="3"/>
  </r>
  <r>
    <x v="47"/>
    <x v="61"/>
    <n v="3"/>
  </r>
  <r>
    <x v="47"/>
    <x v="70"/>
    <n v="3"/>
  </r>
  <r>
    <x v="47"/>
    <x v="43"/>
    <n v="2"/>
  </r>
  <r>
    <x v="47"/>
    <x v="45"/>
    <n v="3"/>
  </r>
  <r>
    <x v="47"/>
    <x v="49"/>
    <n v="1"/>
  </r>
  <r>
    <x v="47"/>
    <x v="53"/>
    <n v="1"/>
  </r>
  <r>
    <x v="47"/>
    <x v="62"/>
    <n v="1"/>
  </r>
  <r>
    <x v="48"/>
    <x v="1"/>
    <n v="1"/>
  </r>
  <r>
    <x v="48"/>
    <x v="5"/>
    <n v="1"/>
  </r>
  <r>
    <x v="48"/>
    <x v="12"/>
    <n v="4"/>
  </r>
  <r>
    <x v="48"/>
    <x v="58"/>
    <n v="3"/>
  </r>
  <r>
    <x v="48"/>
    <x v="13"/>
    <n v="1"/>
  </r>
  <r>
    <x v="48"/>
    <x v="65"/>
    <n v="1"/>
  </r>
  <r>
    <x v="48"/>
    <x v="59"/>
    <n v="3"/>
  </r>
  <r>
    <x v="48"/>
    <x v="18"/>
    <n v="3"/>
  </r>
  <r>
    <x v="48"/>
    <x v="23"/>
    <n v="1"/>
  </r>
  <r>
    <x v="48"/>
    <x v="24"/>
    <n v="1"/>
  </r>
  <r>
    <x v="48"/>
    <x v="25"/>
    <n v="1"/>
  </r>
  <r>
    <x v="48"/>
    <x v="26"/>
    <n v="1"/>
  </r>
  <r>
    <x v="48"/>
    <x v="67"/>
    <n v="1"/>
  </r>
  <r>
    <x v="48"/>
    <x v="28"/>
    <n v="1"/>
  </r>
  <r>
    <x v="48"/>
    <x v="29"/>
    <n v="1"/>
  </r>
  <r>
    <x v="48"/>
    <x v="30"/>
    <n v="1"/>
  </r>
  <r>
    <x v="48"/>
    <x v="31"/>
    <n v="1"/>
  </r>
  <r>
    <x v="48"/>
    <x v="32"/>
    <n v="1"/>
  </r>
  <r>
    <x v="48"/>
    <x v="33"/>
    <n v="1"/>
  </r>
  <r>
    <x v="48"/>
    <x v="34"/>
    <n v="2"/>
  </r>
  <r>
    <x v="48"/>
    <x v="35"/>
    <n v="1"/>
  </r>
  <r>
    <x v="48"/>
    <x v="38"/>
    <n v="4"/>
  </r>
  <r>
    <x v="48"/>
    <x v="39"/>
    <n v="1"/>
  </r>
  <r>
    <x v="48"/>
    <x v="60"/>
    <n v="2"/>
  </r>
  <r>
    <x v="48"/>
    <x v="61"/>
    <n v="3"/>
  </r>
  <r>
    <x v="48"/>
    <x v="70"/>
    <n v="2"/>
  </r>
  <r>
    <x v="48"/>
    <x v="43"/>
    <n v="1"/>
  </r>
  <r>
    <x v="48"/>
    <x v="49"/>
    <n v="1"/>
  </r>
  <r>
    <x v="48"/>
    <x v="62"/>
    <n v="1"/>
  </r>
  <r>
    <x v="49"/>
    <x v="1"/>
    <n v="2"/>
  </r>
  <r>
    <x v="49"/>
    <x v="58"/>
    <n v="1"/>
  </r>
  <r>
    <x v="49"/>
    <x v="18"/>
    <n v="1"/>
  </r>
  <r>
    <x v="49"/>
    <x v="25"/>
    <n v="1"/>
  </r>
  <r>
    <x v="49"/>
    <x v="29"/>
    <n v="1"/>
  </r>
  <r>
    <x v="49"/>
    <x v="32"/>
    <n v="1"/>
  </r>
  <r>
    <x v="49"/>
    <x v="38"/>
    <n v="3"/>
  </r>
  <r>
    <x v="49"/>
    <x v="39"/>
    <n v="2"/>
  </r>
  <r>
    <x v="49"/>
    <x v="60"/>
    <n v="1"/>
  </r>
  <r>
    <x v="49"/>
    <x v="44"/>
    <n v="2"/>
  </r>
  <r>
    <x v="49"/>
    <x v="45"/>
    <n v="7"/>
  </r>
  <r>
    <x v="49"/>
    <x v="46"/>
    <n v="5"/>
  </r>
  <r>
    <x v="50"/>
    <x v="1"/>
    <n v="2"/>
  </r>
  <r>
    <x v="50"/>
    <x v="5"/>
    <n v="1"/>
  </r>
  <r>
    <x v="50"/>
    <x v="58"/>
    <n v="3"/>
  </r>
  <r>
    <x v="50"/>
    <x v="18"/>
    <n v="3"/>
  </r>
  <r>
    <x v="50"/>
    <x v="19"/>
    <n v="3"/>
  </r>
  <r>
    <x v="50"/>
    <x v="25"/>
    <n v="1"/>
  </r>
  <r>
    <x v="50"/>
    <x v="29"/>
    <n v="1"/>
  </r>
  <r>
    <x v="50"/>
    <x v="33"/>
    <n v="1"/>
  </r>
  <r>
    <x v="50"/>
    <x v="38"/>
    <n v="2"/>
  </r>
  <r>
    <x v="50"/>
    <x v="61"/>
    <n v="1"/>
  </r>
  <r>
    <x v="50"/>
    <x v="45"/>
    <n v="2"/>
  </r>
  <r>
    <x v="50"/>
    <x v="80"/>
    <n v="2"/>
  </r>
  <r>
    <x v="50"/>
    <x v="48"/>
    <n v="1"/>
  </r>
  <r>
    <x v="50"/>
    <x v="53"/>
    <n v="1"/>
  </r>
  <r>
    <x v="51"/>
    <x v="12"/>
    <n v="1"/>
  </r>
  <r>
    <x v="51"/>
    <x v="58"/>
    <n v="2"/>
  </r>
  <r>
    <x v="51"/>
    <x v="13"/>
    <n v="1"/>
  </r>
  <r>
    <x v="51"/>
    <x v="16"/>
    <n v="1"/>
  </r>
  <r>
    <x v="51"/>
    <x v="21"/>
    <n v="1"/>
  </r>
  <r>
    <x v="51"/>
    <x v="32"/>
    <n v="1"/>
  </r>
  <r>
    <x v="51"/>
    <x v="68"/>
    <n v="1"/>
  </r>
  <r>
    <x v="51"/>
    <x v="38"/>
    <n v="2"/>
  </r>
  <r>
    <x v="51"/>
    <x v="44"/>
    <n v="1"/>
  </r>
  <r>
    <x v="51"/>
    <x v="45"/>
    <n v="1"/>
  </r>
  <r>
    <x v="51"/>
    <x v="46"/>
    <n v="2"/>
  </r>
  <r>
    <x v="52"/>
    <x v="1"/>
    <n v="1"/>
  </r>
  <r>
    <x v="52"/>
    <x v="12"/>
    <n v="1"/>
  </r>
  <r>
    <x v="52"/>
    <x v="58"/>
    <n v="3"/>
  </r>
  <r>
    <x v="52"/>
    <x v="13"/>
    <n v="1"/>
  </r>
  <r>
    <x v="52"/>
    <x v="18"/>
    <n v="1"/>
  </r>
  <r>
    <x v="52"/>
    <x v="25"/>
    <n v="1"/>
  </r>
  <r>
    <x v="52"/>
    <x v="28"/>
    <n v="1"/>
  </r>
  <r>
    <x v="52"/>
    <x v="29"/>
    <n v="1"/>
  </r>
  <r>
    <x v="52"/>
    <x v="32"/>
    <n v="1"/>
  </r>
  <r>
    <x v="52"/>
    <x v="68"/>
    <n v="1"/>
  </r>
  <r>
    <x v="52"/>
    <x v="38"/>
    <n v="2"/>
  </r>
  <r>
    <x v="52"/>
    <x v="39"/>
    <n v="2"/>
  </r>
  <r>
    <x v="52"/>
    <x v="44"/>
    <n v="5"/>
  </r>
  <r>
    <x v="52"/>
    <x v="45"/>
    <n v="9"/>
  </r>
  <r>
    <x v="52"/>
    <x v="46"/>
    <n v="3"/>
  </r>
  <r>
    <x v="52"/>
    <x v="51"/>
    <n v="1"/>
  </r>
  <r>
    <x v="53"/>
    <x v="18"/>
    <n v="2"/>
  </r>
  <r>
    <x v="53"/>
    <x v="25"/>
    <n v="1"/>
  </r>
  <r>
    <x v="53"/>
    <x v="28"/>
    <n v="1"/>
  </r>
  <r>
    <x v="53"/>
    <x v="32"/>
    <n v="1"/>
  </r>
  <r>
    <x v="53"/>
    <x v="38"/>
    <n v="2"/>
  </r>
  <r>
    <x v="53"/>
    <x v="39"/>
    <n v="1"/>
  </r>
  <r>
    <x v="53"/>
    <x v="45"/>
    <n v="1"/>
  </r>
  <r>
    <x v="53"/>
    <x v="46"/>
    <n v="3"/>
  </r>
  <r>
    <x v="53"/>
    <x v="51"/>
    <n v="1"/>
  </r>
  <r>
    <x v="54"/>
    <x v="1"/>
    <n v="1"/>
  </r>
  <r>
    <x v="54"/>
    <x v="12"/>
    <n v="1"/>
  </r>
  <r>
    <x v="54"/>
    <x v="58"/>
    <n v="4"/>
  </r>
  <r>
    <x v="54"/>
    <x v="13"/>
    <n v="1"/>
  </r>
  <r>
    <x v="54"/>
    <x v="18"/>
    <n v="1"/>
  </r>
  <r>
    <x v="54"/>
    <x v="19"/>
    <n v="1"/>
  </r>
  <r>
    <x v="54"/>
    <x v="29"/>
    <n v="1"/>
  </r>
  <r>
    <x v="54"/>
    <x v="33"/>
    <n v="1"/>
  </r>
  <r>
    <x v="54"/>
    <x v="38"/>
    <n v="2"/>
  </r>
  <r>
    <x v="54"/>
    <x v="39"/>
    <n v="1"/>
  </r>
  <r>
    <x v="54"/>
    <x v="44"/>
    <n v="1"/>
  </r>
  <r>
    <x v="54"/>
    <x v="45"/>
    <n v="2"/>
  </r>
  <r>
    <x v="54"/>
    <x v="106"/>
    <n v="1"/>
  </r>
  <r>
    <x v="54"/>
    <x v="46"/>
    <n v="3"/>
  </r>
  <r>
    <x v="55"/>
    <x v="10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4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5" indent="0" compact="0" outline="1" outlineData="1" compactData="0" multipleFieldFilters="0" rowHeaderCaption="Local">
  <location ref="A5:C40" firstHeaderRow="0" firstDataRow="1" firstDataCol="1" rowPageCount="1" colPageCount="1"/>
  <pivotFields count="3">
    <pivotField axis="axisRow" compact="0" showAll="0" defaultSubtotal="0">
      <items count="86">
        <item x="0"/>
        <item x="3"/>
        <item x="4"/>
        <item x="5"/>
        <item x="7"/>
        <item x="9"/>
        <item x="10"/>
        <item x="11"/>
        <item m="1" x="76"/>
        <item x="13"/>
        <item x="14"/>
        <item x="15"/>
        <item m="1" x="70"/>
        <item m="1" x="72"/>
        <item m="1" x="75"/>
        <item x="18"/>
        <item m="1" x="77"/>
        <item x="22"/>
        <item m="1" x="63"/>
        <item m="1" x="83"/>
        <item m="1" x="85"/>
        <item m="1" x="67"/>
        <item x="26"/>
        <item m="1" x="69"/>
        <item x="30"/>
        <item x="31"/>
        <item x="34"/>
        <item x="35"/>
        <item m="1" x="66"/>
        <item x="36"/>
        <item m="1" x="84"/>
        <item x="37"/>
        <item x="39"/>
        <item x="40"/>
        <item x="41"/>
        <item m="1" x="57"/>
        <item m="1" x="79"/>
        <item m="1" x="65"/>
        <item m="1" x="59"/>
        <item m="1" x="82"/>
        <item x="45"/>
        <item m="1" x="60"/>
        <item x="46"/>
        <item m="1" x="71"/>
        <item m="1" x="62"/>
        <item m="1" x="56"/>
        <item m="1" x="74"/>
        <item x="47"/>
        <item x="48"/>
        <item m="1" x="78"/>
        <item m="1" x="64"/>
        <item m="1" x="58"/>
        <item m="1" x="80"/>
        <item m="1" x="68"/>
        <item x="49"/>
        <item x="50"/>
        <item m="1" x="81"/>
        <item x="51"/>
        <item m="1" x="61"/>
        <item x="52"/>
        <item m="1" x="73"/>
        <item x="53"/>
        <item x="54"/>
        <item x="55"/>
        <item x="1"/>
        <item x="2"/>
        <item x="6"/>
        <item x="8"/>
        <item x="12"/>
        <item x="16"/>
        <item x="17"/>
        <item x="19"/>
        <item x="20"/>
        <item x="21"/>
        <item x="23"/>
        <item x="24"/>
        <item x="25"/>
        <item x="27"/>
        <item x="28"/>
        <item x="29"/>
        <item x="32"/>
        <item x="33"/>
        <item x="38"/>
        <item x="42"/>
        <item x="43"/>
        <item x="44"/>
      </items>
    </pivotField>
    <pivotField axis="axisPage" compact="0" showAll="0">
      <items count="173">
        <item m="1" x="162"/>
        <item x="84"/>
        <item x="0"/>
        <item m="1" x="139"/>
        <item x="92"/>
        <item x="63"/>
        <item x="2"/>
        <item x="64"/>
        <item m="1" x="158"/>
        <item m="1" x="168"/>
        <item m="1" x="167"/>
        <item m="1" x="134"/>
        <item m="1" x="163"/>
        <item x="9"/>
        <item x="10"/>
        <item m="1" x="123"/>
        <item x="12"/>
        <item m="1" x="116"/>
        <item x="13"/>
        <item x="14"/>
        <item x="102"/>
        <item x="15"/>
        <item m="1" x="112"/>
        <item x="65"/>
        <item m="1" x="146"/>
        <item m="1" x="159"/>
        <item x="17"/>
        <item x="59"/>
        <item x="66"/>
        <item m="1" x="151"/>
        <item m="1" x="129"/>
        <item m="1" x="153"/>
        <item m="1" x="127"/>
        <item m="1" x="165"/>
        <item m="1" x="131"/>
        <item m="1" x="140"/>
        <item m="1" x="118"/>
        <item x="18"/>
        <item x="20"/>
        <item x="21"/>
        <item x="22"/>
        <item m="1" x="169"/>
        <item x="23"/>
        <item x="24"/>
        <item x="25"/>
        <item x="26"/>
        <item x="99"/>
        <item x="67"/>
        <item x="27"/>
        <item x="28"/>
        <item m="1" x="124"/>
        <item x="95"/>
        <item m="1" x="143"/>
        <item x="29"/>
        <item x="30"/>
        <item m="1" x="128"/>
        <item x="31"/>
        <item x="32"/>
        <item x="68"/>
        <item x="33"/>
        <item x="34"/>
        <item m="1" x="170"/>
        <item x="97"/>
        <item m="1" x="132"/>
        <item m="1" x="157"/>
        <item x="35"/>
        <item x="36"/>
        <item m="1" x="154"/>
        <item x="38"/>
        <item x="83"/>
        <item x="39"/>
        <item m="1" x="119"/>
        <item x="40"/>
        <item m="1" x="109"/>
        <item x="60"/>
        <item x="61"/>
        <item x="41"/>
        <item x="79"/>
        <item x="69"/>
        <item x="42"/>
        <item x="70"/>
        <item x="43"/>
        <item x="44"/>
        <item x="45"/>
        <item m="1" x="155"/>
        <item x="46"/>
        <item x="80"/>
        <item m="1" x="156"/>
        <item m="1" x="115"/>
        <item m="1" x="111"/>
        <item x="47"/>
        <item x="48"/>
        <item x="72"/>
        <item x="49"/>
        <item x="51"/>
        <item x="73"/>
        <item m="1" x="114"/>
        <item x="52"/>
        <item x="81"/>
        <item x="74"/>
        <item x="82"/>
        <item x="53"/>
        <item m="1" x="135"/>
        <item x="54"/>
        <item x="55"/>
        <item x="56"/>
        <item m="1" x="171"/>
        <item x="75"/>
        <item x="76"/>
        <item x="77"/>
        <item x="78"/>
        <item x="62"/>
        <item m="1" x="166"/>
        <item m="1" x="160"/>
        <item m="1" x="126"/>
        <item x="57"/>
        <item x="107"/>
        <item m="1" x="133"/>
        <item m="1" x="110"/>
        <item m="1" x="141"/>
        <item m="1" x="142"/>
        <item m="1" x="164"/>
        <item x="37"/>
        <item m="1" x="138"/>
        <item x="71"/>
        <item m="1" x="144"/>
        <item m="1" x="121"/>
        <item m="1" x="108"/>
        <item m="1" x="149"/>
        <item m="1" x="122"/>
        <item m="1" x="113"/>
        <item m="1" x="147"/>
        <item x="4"/>
        <item m="1" x="150"/>
        <item x="16"/>
        <item m="1" x="125"/>
        <item m="1" x="145"/>
        <item x="19"/>
        <item x="50"/>
        <item x="5"/>
        <item m="1" x="136"/>
        <item m="1" x="148"/>
        <item x="85"/>
        <item x="87"/>
        <item x="88"/>
        <item x="103"/>
        <item x="89"/>
        <item x="101"/>
        <item x="100"/>
        <item x="90"/>
        <item x="96"/>
        <item m="1" x="130"/>
        <item x="93"/>
        <item x="105"/>
        <item x="7"/>
        <item m="1" x="152"/>
        <item m="1" x="161"/>
        <item x="86"/>
        <item x="98"/>
        <item m="1" x="117"/>
        <item m="1" x="137"/>
        <item x="1"/>
        <item x="3"/>
        <item x="6"/>
        <item x="11"/>
        <item m="1" x="120"/>
        <item x="58"/>
        <item x="94"/>
        <item x="104"/>
        <item x="91"/>
        <item x="106"/>
        <item x="8"/>
        <item t="default"/>
      </items>
    </pivotField>
    <pivotField dataField="1" compact="0" showAll="0"/>
  </pivotFields>
  <rowFields count="1">
    <field x="0"/>
  </rowFields>
  <rowItems count="35">
    <i>
      <x/>
    </i>
    <i>
      <x v="1"/>
    </i>
    <i>
      <x v="2"/>
    </i>
    <i>
      <x v="3"/>
    </i>
    <i>
      <x v="4"/>
    </i>
    <i>
      <x v="9"/>
    </i>
    <i>
      <x v="11"/>
    </i>
    <i>
      <x v="17"/>
    </i>
    <i>
      <x v="22"/>
    </i>
    <i>
      <x v="27"/>
    </i>
    <i>
      <x v="29"/>
    </i>
    <i>
      <x v="31"/>
    </i>
    <i>
      <x v="33"/>
    </i>
    <i>
      <x v="40"/>
    </i>
    <i>
      <x v="47"/>
    </i>
    <i>
      <x v="55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3"/>
    </i>
    <i>
      <x v="84"/>
    </i>
    <i>
      <x v="85"/>
    </i>
  </rowItems>
  <colFields count="1">
    <field x="-2"/>
  </colFields>
  <colItems count="2">
    <i>
      <x/>
    </i>
    <i i="1">
      <x v="1"/>
    </i>
  </colItems>
  <pageFields count="1">
    <pageField fld="1" item="101" hier="-1"/>
  </pageFields>
  <dataFields count="2">
    <dataField name="Suma de BULTOS" fld="2" baseField="0" baseItem="1"/>
    <dataField name="% de BULTOS" fld="2" showDataAs="percentOfTotal" baseField="0" baseItem="33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F1990"/>
  <sheetViews>
    <sheetView zoomScaleNormal="100" workbookViewId="0">
      <selection activeCell="A2" sqref="A2:C1990"/>
    </sheetView>
  </sheetViews>
  <sheetFormatPr baseColWidth="10" defaultColWidth="14.5" defaultRowHeight="15.75" customHeight="1" x14ac:dyDescent="0.15"/>
  <cols>
    <col min="4" max="5" width="19.5" customWidth="1"/>
    <col min="6" max="6" width="13.6640625" customWidth="1"/>
    <col min="7" max="7" width="9.83203125" customWidth="1"/>
    <col min="8" max="8" width="17.33203125" customWidth="1"/>
    <col min="9" max="9" width="9.83203125" customWidth="1"/>
    <col min="10" max="10" width="13.6640625" customWidth="1"/>
    <col min="11" max="12" width="9.83203125" customWidth="1"/>
    <col min="13" max="13" width="8.1640625" customWidth="1"/>
    <col min="14" max="14" width="13.6640625" customWidth="1"/>
    <col min="15" max="16" width="9.83203125" customWidth="1"/>
  </cols>
  <sheetData>
    <row r="1" spans="1:5" ht="15.75" customHeight="1" x14ac:dyDescent="0.15">
      <c r="A1" t="s">
        <v>35</v>
      </c>
      <c r="B1" t="s">
        <v>0</v>
      </c>
      <c r="C1" t="s">
        <v>1</v>
      </c>
    </row>
    <row r="2" spans="1:5" ht="15.75" customHeight="1" x14ac:dyDescent="0.15">
      <c r="A2">
        <v>1</v>
      </c>
      <c r="B2">
        <v>270122000</v>
      </c>
      <c r="C2">
        <v>2</v>
      </c>
      <c r="E2" s="27"/>
    </row>
    <row r="3" spans="1:5" ht="15.75" customHeight="1" x14ac:dyDescent="0.15">
      <c r="A3">
        <v>1</v>
      </c>
      <c r="B3">
        <v>270140000</v>
      </c>
      <c r="C3">
        <v>3</v>
      </c>
    </row>
    <row r="4" spans="1:5" ht="15.75" customHeight="1" x14ac:dyDescent="0.15">
      <c r="A4">
        <v>1</v>
      </c>
      <c r="B4">
        <v>270168000</v>
      </c>
      <c r="C4">
        <v>1</v>
      </c>
    </row>
    <row r="5" spans="1:5" ht="15.75" customHeight="1" x14ac:dyDescent="0.15">
      <c r="A5">
        <v>1</v>
      </c>
      <c r="B5">
        <v>270180000</v>
      </c>
      <c r="C5">
        <v>2</v>
      </c>
    </row>
    <row r="6" spans="1:5" ht="15.75" customHeight="1" x14ac:dyDescent="0.15">
      <c r="A6">
        <v>1</v>
      </c>
      <c r="B6">
        <v>270204000</v>
      </c>
      <c r="C6">
        <v>1</v>
      </c>
    </row>
    <row r="7" spans="1:5" ht="15.75" customHeight="1" x14ac:dyDescent="0.15">
      <c r="A7">
        <v>1</v>
      </c>
      <c r="B7">
        <v>270217000</v>
      </c>
      <c r="C7">
        <v>1</v>
      </c>
    </row>
    <row r="8" spans="1:5" ht="15.75" customHeight="1" x14ac:dyDescent="0.15">
      <c r="A8">
        <v>1</v>
      </c>
      <c r="B8">
        <v>270271000</v>
      </c>
      <c r="C8">
        <v>5</v>
      </c>
    </row>
    <row r="9" spans="1:5" ht="15.75" customHeight="1" x14ac:dyDescent="0.15">
      <c r="A9">
        <v>1</v>
      </c>
      <c r="B9">
        <v>270285000</v>
      </c>
      <c r="C9">
        <v>1</v>
      </c>
      <c r="E9" s="27"/>
    </row>
    <row r="10" spans="1:5" ht="15.75" customHeight="1" x14ac:dyDescent="0.15">
      <c r="A10">
        <v>1</v>
      </c>
      <c r="B10">
        <v>270291000</v>
      </c>
      <c r="C10">
        <v>1</v>
      </c>
    </row>
    <row r="11" spans="1:5" ht="15.75" customHeight="1" x14ac:dyDescent="0.15">
      <c r="A11">
        <v>1</v>
      </c>
      <c r="B11">
        <v>270303000</v>
      </c>
      <c r="C11">
        <v>2</v>
      </c>
    </row>
    <row r="12" spans="1:5" ht="15.75" customHeight="1" x14ac:dyDescent="0.15">
      <c r="A12">
        <v>1</v>
      </c>
      <c r="B12">
        <v>270304000</v>
      </c>
      <c r="C12">
        <v>2</v>
      </c>
    </row>
    <row r="13" spans="1:5" ht="15.75" customHeight="1" x14ac:dyDescent="0.15">
      <c r="A13">
        <v>1</v>
      </c>
      <c r="B13">
        <v>270310000</v>
      </c>
      <c r="C13">
        <v>1</v>
      </c>
    </row>
    <row r="14" spans="1:5" ht="15.75" customHeight="1" x14ac:dyDescent="0.15">
      <c r="A14">
        <v>1</v>
      </c>
      <c r="B14">
        <v>270316000</v>
      </c>
      <c r="C14">
        <v>3</v>
      </c>
    </row>
    <row r="15" spans="1:5" ht="15.75" customHeight="1" x14ac:dyDescent="0.15">
      <c r="A15">
        <v>1</v>
      </c>
      <c r="B15">
        <v>270330000</v>
      </c>
      <c r="C15">
        <v>1</v>
      </c>
    </row>
    <row r="16" spans="1:5" ht="15.75" customHeight="1" x14ac:dyDescent="0.15">
      <c r="A16">
        <v>1</v>
      </c>
      <c r="B16">
        <v>270358000</v>
      </c>
      <c r="C16">
        <v>1</v>
      </c>
    </row>
    <row r="17" spans="1:3" ht="15.75" customHeight="1" x14ac:dyDescent="0.15">
      <c r="A17">
        <v>1</v>
      </c>
      <c r="B17">
        <v>270389000</v>
      </c>
      <c r="C17">
        <v>1</v>
      </c>
    </row>
    <row r="18" spans="1:3" ht="15.75" customHeight="1" x14ac:dyDescent="0.15">
      <c r="A18">
        <v>1</v>
      </c>
      <c r="B18">
        <v>270408000</v>
      </c>
      <c r="C18">
        <v>2</v>
      </c>
    </row>
    <row r="19" spans="1:3" ht="15.75" customHeight="1" x14ac:dyDescent="0.15">
      <c r="A19">
        <v>1</v>
      </c>
      <c r="B19">
        <v>270411000</v>
      </c>
      <c r="C19">
        <v>1</v>
      </c>
    </row>
    <row r="20" spans="1:3" ht="15.75" customHeight="1" x14ac:dyDescent="0.15">
      <c r="A20">
        <v>1</v>
      </c>
      <c r="B20">
        <v>270710000</v>
      </c>
      <c r="C20">
        <v>6</v>
      </c>
    </row>
    <row r="21" spans="1:3" ht="15.75" customHeight="1" x14ac:dyDescent="0.15">
      <c r="A21">
        <v>1</v>
      </c>
      <c r="B21">
        <v>270716000</v>
      </c>
      <c r="C21">
        <v>1</v>
      </c>
    </row>
    <row r="22" spans="1:3" ht="15.75" customHeight="1" x14ac:dyDescent="0.15">
      <c r="A22">
        <v>1</v>
      </c>
      <c r="B22">
        <v>270717000</v>
      </c>
      <c r="C22">
        <v>1</v>
      </c>
    </row>
    <row r="23" spans="1:3" ht="15.75" customHeight="1" x14ac:dyDescent="0.15">
      <c r="A23">
        <v>1</v>
      </c>
      <c r="B23">
        <v>270801000</v>
      </c>
      <c r="C23">
        <v>2</v>
      </c>
    </row>
    <row r="24" spans="1:3" ht="15.75" customHeight="1" x14ac:dyDescent="0.15">
      <c r="A24">
        <v>1</v>
      </c>
      <c r="B24">
        <v>270803000</v>
      </c>
      <c r="C24">
        <v>2</v>
      </c>
    </row>
    <row r="25" spans="1:3" ht="13" x14ac:dyDescent="0.15">
      <c r="A25">
        <v>1</v>
      </c>
      <c r="B25">
        <v>270805000</v>
      </c>
      <c r="C25">
        <v>1</v>
      </c>
    </row>
    <row r="26" spans="1:3" ht="13" x14ac:dyDescent="0.15">
      <c r="A26">
        <v>1</v>
      </c>
      <c r="B26">
        <v>270806000</v>
      </c>
      <c r="C26">
        <v>1</v>
      </c>
    </row>
    <row r="27" spans="1:3" ht="13" x14ac:dyDescent="0.15">
      <c r="A27">
        <v>1</v>
      </c>
      <c r="B27">
        <v>270810000</v>
      </c>
      <c r="C27">
        <v>1</v>
      </c>
    </row>
    <row r="28" spans="1:3" ht="13" x14ac:dyDescent="0.15">
      <c r="A28">
        <v>1</v>
      </c>
      <c r="B28">
        <v>270903000</v>
      </c>
      <c r="C28">
        <v>2</v>
      </c>
    </row>
    <row r="29" spans="1:3" ht="13" x14ac:dyDescent="0.15">
      <c r="A29">
        <v>1</v>
      </c>
      <c r="B29">
        <v>270906000</v>
      </c>
      <c r="C29">
        <v>3</v>
      </c>
    </row>
    <row r="30" spans="1:3" ht="13" x14ac:dyDescent="0.15">
      <c r="A30">
        <v>1</v>
      </c>
      <c r="B30">
        <v>270910000</v>
      </c>
      <c r="C30">
        <v>1</v>
      </c>
    </row>
    <row r="31" spans="1:3" ht="13" x14ac:dyDescent="0.15">
      <c r="A31">
        <v>1</v>
      </c>
      <c r="B31">
        <v>270926000</v>
      </c>
      <c r="C31">
        <v>3</v>
      </c>
    </row>
    <row r="32" spans="1:3" ht="13" x14ac:dyDescent="0.15">
      <c r="A32">
        <v>1</v>
      </c>
      <c r="B32">
        <v>271002000</v>
      </c>
      <c r="C32">
        <v>2</v>
      </c>
    </row>
    <row r="33" spans="1:3" ht="13" x14ac:dyDescent="0.15">
      <c r="A33">
        <v>1</v>
      </c>
      <c r="B33">
        <v>271005000</v>
      </c>
      <c r="C33">
        <v>1</v>
      </c>
    </row>
    <row r="34" spans="1:3" ht="13" x14ac:dyDescent="0.15">
      <c r="A34">
        <v>1</v>
      </c>
      <c r="B34">
        <v>271006000</v>
      </c>
      <c r="C34">
        <v>2</v>
      </c>
    </row>
    <row r="35" spans="1:3" ht="13" x14ac:dyDescent="0.15">
      <c r="A35">
        <v>1</v>
      </c>
      <c r="B35">
        <v>271010000</v>
      </c>
      <c r="C35">
        <v>1</v>
      </c>
    </row>
    <row r="36" spans="1:3" ht="13" x14ac:dyDescent="0.15">
      <c r="A36">
        <v>1</v>
      </c>
      <c r="B36">
        <v>271011000</v>
      </c>
      <c r="C36">
        <v>3</v>
      </c>
    </row>
    <row r="37" spans="1:3" ht="13" x14ac:dyDescent="0.15">
      <c r="A37">
        <v>1</v>
      </c>
      <c r="B37">
        <v>271020000</v>
      </c>
      <c r="C37">
        <v>2</v>
      </c>
    </row>
    <row r="38" spans="1:3" ht="13" x14ac:dyDescent="0.15">
      <c r="A38">
        <v>1</v>
      </c>
      <c r="B38">
        <v>271021000</v>
      </c>
      <c r="C38">
        <v>1</v>
      </c>
    </row>
    <row r="39" spans="1:3" ht="13" x14ac:dyDescent="0.15">
      <c r="A39">
        <v>1</v>
      </c>
      <c r="B39">
        <v>271025000</v>
      </c>
      <c r="C39">
        <v>1</v>
      </c>
    </row>
    <row r="40" spans="1:3" ht="13" x14ac:dyDescent="0.15">
      <c r="A40">
        <v>1</v>
      </c>
      <c r="B40">
        <v>271059000</v>
      </c>
      <c r="C40">
        <v>8</v>
      </c>
    </row>
    <row r="41" spans="1:3" ht="13" x14ac:dyDescent="0.15">
      <c r="A41">
        <v>1</v>
      </c>
      <c r="B41">
        <v>271074000</v>
      </c>
      <c r="C41">
        <v>1</v>
      </c>
    </row>
    <row r="42" spans="1:3" ht="13" x14ac:dyDescent="0.15">
      <c r="A42">
        <v>1</v>
      </c>
      <c r="B42">
        <v>271204000</v>
      </c>
      <c r="C42">
        <v>1</v>
      </c>
    </row>
    <row r="43" spans="1:3" ht="13" x14ac:dyDescent="0.15">
      <c r="A43">
        <v>1</v>
      </c>
      <c r="B43">
        <v>271208000</v>
      </c>
      <c r="C43">
        <v>1</v>
      </c>
    </row>
    <row r="44" spans="1:3" ht="13" x14ac:dyDescent="0.15">
      <c r="A44">
        <v>1</v>
      </c>
      <c r="B44">
        <v>271213000</v>
      </c>
      <c r="C44">
        <v>2</v>
      </c>
    </row>
    <row r="45" spans="1:3" ht="13" x14ac:dyDescent="0.15">
      <c r="A45">
        <v>1</v>
      </c>
      <c r="B45">
        <v>271215000</v>
      </c>
      <c r="C45">
        <v>2</v>
      </c>
    </row>
    <row r="46" spans="1:3" ht="13" x14ac:dyDescent="0.15">
      <c r="A46">
        <v>1</v>
      </c>
      <c r="B46">
        <v>271216000</v>
      </c>
      <c r="C46">
        <v>4</v>
      </c>
    </row>
    <row r="47" spans="1:3" ht="13" x14ac:dyDescent="0.15">
      <c r="A47">
        <v>1</v>
      </c>
      <c r="B47">
        <v>271221000</v>
      </c>
      <c r="C47">
        <v>1</v>
      </c>
    </row>
    <row r="48" spans="1:3" ht="13" x14ac:dyDescent="0.15">
      <c r="A48">
        <v>1</v>
      </c>
      <c r="B48">
        <v>271226000</v>
      </c>
      <c r="C48">
        <v>4</v>
      </c>
    </row>
    <row r="49" spans="1:3" ht="13" x14ac:dyDescent="0.15">
      <c r="A49">
        <v>1</v>
      </c>
      <c r="B49">
        <v>271244000</v>
      </c>
      <c r="C49">
        <v>1</v>
      </c>
    </row>
    <row r="50" spans="1:3" ht="13" x14ac:dyDescent="0.15">
      <c r="A50">
        <v>1</v>
      </c>
      <c r="B50">
        <v>271245000</v>
      </c>
      <c r="C50">
        <v>4</v>
      </c>
    </row>
    <row r="51" spans="1:3" ht="13" x14ac:dyDescent="0.15">
      <c r="A51">
        <v>1</v>
      </c>
      <c r="B51">
        <v>271259000</v>
      </c>
      <c r="C51">
        <v>1</v>
      </c>
    </row>
    <row r="52" spans="1:3" ht="13" x14ac:dyDescent="0.15">
      <c r="A52">
        <v>1</v>
      </c>
      <c r="B52">
        <v>271260000</v>
      </c>
      <c r="C52">
        <v>2</v>
      </c>
    </row>
    <row r="53" spans="1:3" ht="13" x14ac:dyDescent="0.15">
      <c r="A53">
        <v>1</v>
      </c>
      <c r="B53">
        <v>271301000</v>
      </c>
      <c r="C53">
        <v>1</v>
      </c>
    </row>
    <row r="54" spans="1:3" ht="13" x14ac:dyDescent="0.15">
      <c r="A54">
        <v>1</v>
      </c>
      <c r="B54">
        <v>271306000</v>
      </c>
      <c r="C54">
        <v>1</v>
      </c>
    </row>
    <row r="55" spans="1:3" ht="13" x14ac:dyDescent="0.15">
      <c r="A55">
        <v>1</v>
      </c>
      <c r="B55">
        <v>271503000</v>
      </c>
      <c r="C55">
        <v>1</v>
      </c>
    </row>
    <row r="56" spans="1:3" ht="13" x14ac:dyDescent="0.15">
      <c r="A56">
        <v>1</v>
      </c>
      <c r="B56">
        <v>271512000</v>
      </c>
      <c r="C56">
        <v>2</v>
      </c>
    </row>
    <row r="57" spans="1:3" ht="13" x14ac:dyDescent="0.15">
      <c r="A57">
        <v>1</v>
      </c>
      <c r="B57">
        <v>271513000</v>
      </c>
      <c r="C57">
        <v>1</v>
      </c>
    </row>
    <row r="58" spans="1:3" ht="13" x14ac:dyDescent="0.15">
      <c r="A58">
        <v>1</v>
      </c>
      <c r="B58">
        <v>271514000</v>
      </c>
      <c r="C58">
        <v>1</v>
      </c>
    </row>
    <row r="59" spans="1:3" ht="13" x14ac:dyDescent="0.15">
      <c r="A59">
        <v>1</v>
      </c>
      <c r="B59">
        <v>277143000</v>
      </c>
      <c r="C59">
        <v>2</v>
      </c>
    </row>
    <row r="60" spans="1:3" ht="13" x14ac:dyDescent="0.15">
      <c r="A60">
        <v>2</v>
      </c>
      <c r="B60">
        <v>270140000</v>
      </c>
      <c r="C60">
        <v>1</v>
      </c>
    </row>
    <row r="61" spans="1:3" ht="13" x14ac:dyDescent="0.15">
      <c r="A61">
        <v>2</v>
      </c>
      <c r="B61">
        <v>270204000</v>
      </c>
      <c r="C61">
        <v>1</v>
      </c>
    </row>
    <row r="62" spans="1:3" ht="13" x14ac:dyDescent="0.15">
      <c r="A62">
        <v>2</v>
      </c>
      <c r="B62">
        <v>270316000</v>
      </c>
      <c r="C62">
        <v>2</v>
      </c>
    </row>
    <row r="63" spans="1:3" ht="13" x14ac:dyDescent="0.15">
      <c r="A63">
        <v>2</v>
      </c>
      <c r="B63">
        <v>270328000</v>
      </c>
      <c r="C63">
        <v>1</v>
      </c>
    </row>
    <row r="64" spans="1:3" ht="13" x14ac:dyDescent="0.15">
      <c r="A64">
        <v>2</v>
      </c>
      <c r="B64">
        <v>270330000</v>
      </c>
      <c r="C64">
        <v>1</v>
      </c>
    </row>
    <row r="65" spans="1:3" ht="13" x14ac:dyDescent="0.15">
      <c r="A65">
        <v>2</v>
      </c>
      <c r="B65">
        <v>270412000</v>
      </c>
      <c r="C65">
        <v>2</v>
      </c>
    </row>
    <row r="66" spans="1:3" ht="13" x14ac:dyDescent="0.15">
      <c r="A66">
        <v>2</v>
      </c>
      <c r="B66">
        <v>270710000</v>
      </c>
      <c r="C66">
        <v>4</v>
      </c>
    </row>
    <row r="67" spans="1:3" ht="13" x14ac:dyDescent="0.15">
      <c r="A67">
        <v>2</v>
      </c>
      <c r="B67">
        <v>270716000</v>
      </c>
      <c r="C67">
        <v>3</v>
      </c>
    </row>
    <row r="68" spans="1:3" ht="13" x14ac:dyDescent="0.15">
      <c r="A68">
        <v>2</v>
      </c>
      <c r="B68">
        <v>270801000</v>
      </c>
      <c r="C68">
        <v>1</v>
      </c>
    </row>
    <row r="69" spans="1:3" ht="13" x14ac:dyDescent="0.15">
      <c r="A69">
        <v>2</v>
      </c>
      <c r="B69">
        <v>270803000</v>
      </c>
      <c r="C69">
        <v>1</v>
      </c>
    </row>
    <row r="70" spans="1:3" ht="13" x14ac:dyDescent="0.15">
      <c r="A70">
        <v>2</v>
      </c>
      <c r="B70">
        <v>270810000</v>
      </c>
      <c r="C70">
        <v>1</v>
      </c>
    </row>
    <row r="71" spans="1:3" ht="13" x14ac:dyDescent="0.15">
      <c r="A71">
        <v>2</v>
      </c>
      <c r="B71">
        <v>270903000</v>
      </c>
      <c r="C71">
        <v>1</v>
      </c>
    </row>
    <row r="72" spans="1:3" ht="13" x14ac:dyDescent="0.15">
      <c r="A72">
        <v>2</v>
      </c>
      <c r="B72">
        <v>270910000</v>
      </c>
      <c r="C72">
        <v>1</v>
      </c>
    </row>
    <row r="73" spans="1:3" ht="13" x14ac:dyDescent="0.15">
      <c r="A73">
        <v>2</v>
      </c>
      <c r="B73">
        <v>270926000</v>
      </c>
      <c r="C73">
        <v>3</v>
      </c>
    </row>
    <row r="74" spans="1:3" ht="13" x14ac:dyDescent="0.15">
      <c r="A74">
        <v>2</v>
      </c>
      <c r="B74">
        <v>271002000</v>
      </c>
      <c r="C74">
        <v>1</v>
      </c>
    </row>
    <row r="75" spans="1:3" ht="13" x14ac:dyDescent="0.15">
      <c r="A75">
        <v>2</v>
      </c>
      <c r="B75">
        <v>271005000</v>
      </c>
      <c r="C75">
        <v>1</v>
      </c>
    </row>
    <row r="76" spans="1:3" ht="13" x14ac:dyDescent="0.15">
      <c r="A76">
        <v>2</v>
      </c>
      <c r="B76">
        <v>271006000</v>
      </c>
      <c r="C76">
        <v>1</v>
      </c>
    </row>
    <row r="77" spans="1:3" ht="13" x14ac:dyDescent="0.15">
      <c r="A77">
        <v>2</v>
      </c>
      <c r="B77">
        <v>271010000</v>
      </c>
      <c r="C77">
        <v>1</v>
      </c>
    </row>
    <row r="78" spans="1:3" ht="13" x14ac:dyDescent="0.15">
      <c r="A78">
        <v>2</v>
      </c>
      <c r="B78">
        <v>271011000</v>
      </c>
      <c r="C78">
        <v>1</v>
      </c>
    </row>
    <row r="79" spans="1:3" ht="13" x14ac:dyDescent="0.15">
      <c r="A79">
        <v>2</v>
      </c>
      <c r="B79">
        <v>271020000</v>
      </c>
      <c r="C79">
        <v>1</v>
      </c>
    </row>
    <row r="80" spans="1:3" ht="13" x14ac:dyDescent="0.15">
      <c r="A80">
        <v>2</v>
      </c>
      <c r="B80">
        <v>271059000</v>
      </c>
      <c r="C80">
        <v>5</v>
      </c>
    </row>
    <row r="81" spans="1:3" ht="13" x14ac:dyDescent="0.15">
      <c r="A81">
        <v>2</v>
      </c>
      <c r="B81">
        <v>271074000</v>
      </c>
      <c r="C81">
        <v>1</v>
      </c>
    </row>
    <row r="82" spans="1:3" ht="13" x14ac:dyDescent="0.15">
      <c r="A82">
        <v>2</v>
      </c>
      <c r="B82">
        <v>271206000</v>
      </c>
      <c r="C82">
        <v>1</v>
      </c>
    </row>
    <row r="83" spans="1:3" ht="13" x14ac:dyDescent="0.15">
      <c r="A83">
        <v>2</v>
      </c>
      <c r="B83">
        <v>271207000</v>
      </c>
      <c r="C83">
        <v>3</v>
      </c>
    </row>
    <row r="84" spans="1:3" ht="13" x14ac:dyDescent="0.15">
      <c r="A84">
        <v>2</v>
      </c>
      <c r="B84">
        <v>271221000</v>
      </c>
      <c r="C84">
        <v>3</v>
      </c>
    </row>
    <row r="85" spans="1:3" ht="13" x14ac:dyDescent="0.15">
      <c r="A85">
        <v>2</v>
      </c>
      <c r="B85">
        <v>271612000</v>
      </c>
      <c r="C85">
        <v>1</v>
      </c>
    </row>
    <row r="86" spans="1:3" ht="13" x14ac:dyDescent="0.15">
      <c r="A86">
        <v>3</v>
      </c>
      <c r="B86">
        <v>270122000</v>
      </c>
      <c r="C86">
        <v>3</v>
      </c>
    </row>
    <row r="87" spans="1:3" ht="13" x14ac:dyDescent="0.15">
      <c r="A87">
        <v>3</v>
      </c>
      <c r="B87">
        <v>270140000</v>
      </c>
      <c r="C87">
        <v>3</v>
      </c>
    </row>
    <row r="88" spans="1:3" ht="13" x14ac:dyDescent="0.15">
      <c r="A88">
        <v>3</v>
      </c>
      <c r="B88">
        <v>270163000</v>
      </c>
      <c r="C88">
        <v>1</v>
      </c>
    </row>
    <row r="89" spans="1:3" ht="13" x14ac:dyDescent="0.15">
      <c r="A89">
        <v>3</v>
      </c>
      <c r="B89">
        <v>270172000</v>
      </c>
      <c r="C89">
        <v>4</v>
      </c>
    </row>
    <row r="90" spans="1:3" ht="13" x14ac:dyDescent="0.15">
      <c r="A90">
        <v>3</v>
      </c>
      <c r="B90">
        <v>270217000</v>
      </c>
      <c r="C90">
        <v>1</v>
      </c>
    </row>
    <row r="91" spans="1:3" ht="13" x14ac:dyDescent="0.15">
      <c r="A91">
        <v>3</v>
      </c>
      <c r="B91">
        <v>270303000</v>
      </c>
      <c r="C91">
        <v>1</v>
      </c>
    </row>
    <row r="92" spans="1:3" ht="13" x14ac:dyDescent="0.15">
      <c r="A92">
        <v>3</v>
      </c>
      <c r="B92">
        <v>270316000</v>
      </c>
      <c r="C92">
        <v>4</v>
      </c>
    </row>
    <row r="93" spans="1:3" ht="13" x14ac:dyDescent="0.15">
      <c r="A93">
        <v>3</v>
      </c>
      <c r="B93">
        <v>270328000</v>
      </c>
      <c r="C93">
        <v>5</v>
      </c>
    </row>
    <row r="94" spans="1:3" ht="13" x14ac:dyDescent="0.15">
      <c r="A94">
        <v>3</v>
      </c>
      <c r="B94">
        <v>270330000</v>
      </c>
      <c r="C94">
        <v>1</v>
      </c>
    </row>
    <row r="95" spans="1:3" ht="13" x14ac:dyDescent="0.15">
      <c r="A95">
        <v>3</v>
      </c>
      <c r="B95">
        <v>270403000</v>
      </c>
      <c r="C95">
        <v>3</v>
      </c>
    </row>
    <row r="96" spans="1:3" ht="13" x14ac:dyDescent="0.15">
      <c r="A96">
        <v>3</v>
      </c>
      <c r="B96">
        <v>270408000</v>
      </c>
      <c r="C96">
        <v>1</v>
      </c>
    </row>
    <row r="97" spans="1:3" ht="13" x14ac:dyDescent="0.15">
      <c r="A97">
        <v>3</v>
      </c>
      <c r="B97">
        <v>270411000</v>
      </c>
      <c r="C97">
        <v>7</v>
      </c>
    </row>
    <row r="98" spans="1:3" ht="13" x14ac:dyDescent="0.15">
      <c r="A98">
        <v>3</v>
      </c>
      <c r="B98">
        <v>270413000</v>
      </c>
      <c r="C98">
        <v>1</v>
      </c>
    </row>
    <row r="99" spans="1:3" ht="13" x14ac:dyDescent="0.15">
      <c r="A99">
        <v>3</v>
      </c>
      <c r="B99">
        <v>270710000</v>
      </c>
      <c r="C99">
        <v>4</v>
      </c>
    </row>
    <row r="100" spans="1:3" ht="13" x14ac:dyDescent="0.15">
      <c r="A100">
        <v>3</v>
      </c>
      <c r="B100">
        <v>270801000</v>
      </c>
      <c r="C100">
        <v>1</v>
      </c>
    </row>
    <row r="101" spans="1:3" ht="13" x14ac:dyDescent="0.15">
      <c r="A101">
        <v>3</v>
      </c>
      <c r="B101">
        <v>270803000</v>
      </c>
      <c r="C101">
        <v>2</v>
      </c>
    </row>
    <row r="102" spans="1:3" ht="13" x14ac:dyDescent="0.15">
      <c r="A102">
        <v>3</v>
      </c>
      <c r="B102">
        <v>270810000</v>
      </c>
      <c r="C102">
        <v>1</v>
      </c>
    </row>
    <row r="103" spans="1:3" ht="13" x14ac:dyDescent="0.15">
      <c r="A103">
        <v>3</v>
      </c>
      <c r="B103">
        <v>270903000</v>
      </c>
      <c r="C103">
        <v>2</v>
      </c>
    </row>
    <row r="104" spans="1:3" ht="13" x14ac:dyDescent="0.15">
      <c r="A104">
        <v>3</v>
      </c>
      <c r="B104">
        <v>270905000</v>
      </c>
      <c r="C104">
        <v>1</v>
      </c>
    </row>
    <row r="105" spans="1:3" ht="13" x14ac:dyDescent="0.15">
      <c r="A105">
        <v>3</v>
      </c>
      <c r="B105">
        <v>270906000</v>
      </c>
      <c r="C105">
        <v>1</v>
      </c>
    </row>
    <row r="106" spans="1:3" ht="13" x14ac:dyDescent="0.15">
      <c r="A106">
        <v>3</v>
      </c>
      <c r="B106">
        <v>270910000</v>
      </c>
      <c r="C106">
        <v>1</v>
      </c>
    </row>
    <row r="107" spans="1:3" ht="13" x14ac:dyDescent="0.15">
      <c r="A107">
        <v>3</v>
      </c>
      <c r="B107">
        <v>270926000</v>
      </c>
      <c r="C107">
        <v>1</v>
      </c>
    </row>
    <row r="108" spans="1:3" ht="13" x14ac:dyDescent="0.15">
      <c r="A108">
        <v>3</v>
      </c>
      <c r="B108">
        <v>271002000</v>
      </c>
      <c r="C108">
        <v>2</v>
      </c>
    </row>
    <row r="109" spans="1:3" ht="13" x14ac:dyDescent="0.15">
      <c r="A109">
        <v>3</v>
      </c>
      <c r="B109">
        <v>271005000</v>
      </c>
      <c r="C109">
        <v>2</v>
      </c>
    </row>
    <row r="110" spans="1:3" ht="13" x14ac:dyDescent="0.15">
      <c r="A110">
        <v>3</v>
      </c>
      <c r="B110">
        <v>271006000</v>
      </c>
      <c r="C110">
        <v>1</v>
      </c>
    </row>
    <row r="111" spans="1:3" ht="13" x14ac:dyDescent="0.15">
      <c r="A111">
        <v>3</v>
      </c>
      <c r="B111">
        <v>271008000</v>
      </c>
      <c r="C111">
        <v>1</v>
      </c>
    </row>
    <row r="112" spans="1:3" ht="13" x14ac:dyDescent="0.15">
      <c r="A112">
        <v>3</v>
      </c>
      <c r="B112">
        <v>271010000</v>
      </c>
      <c r="C112">
        <v>1</v>
      </c>
    </row>
    <row r="113" spans="1:3" ht="13" x14ac:dyDescent="0.15">
      <c r="A113">
        <v>3</v>
      </c>
      <c r="B113">
        <v>271011000</v>
      </c>
      <c r="C113">
        <v>3</v>
      </c>
    </row>
    <row r="114" spans="1:3" ht="13" x14ac:dyDescent="0.15">
      <c r="A114">
        <v>3</v>
      </c>
      <c r="B114">
        <v>271020000</v>
      </c>
      <c r="C114">
        <v>1</v>
      </c>
    </row>
    <row r="115" spans="1:3" ht="13" x14ac:dyDescent="0.15">
      <c r="A115">
        <v>3</v>
      </c>
      <c r="B115">
        <v>271021000</v>
      </c>
      <c r="C115">
        <v>1</v>
      </c>
    </row>
    <row r="116" spans="1:3" ht="13" x14ac:dyDescent="0.15">
      <c r="A116">
        <v>3</v>
      </c>
      <c r="B116">
        <v>271059000</v>
      </c>
      <c r="C116">
        <v>5</v>
      </c>
    </row>
    <row r="117" spans="1:3" ht="13" x14ac:dyDescent="0.15">
      <c r="A117">
        <v>3</v>
      </c>
      <c r="B117">
        <v>271074000</v>
      </c>
      <c r="C117">
        <v>4</v>
      </c>
    </row>
    <row r="118" spans="1:3" ht="13" x14ac:dyDescent="0.15">
      <c r="A118">
        <v>3</v>
      </c>
      <c r="B118">
        <v>271206000</v>
      </c>
      <c r="C118">
        <v>4</v>
      </c>
    </row>
    <row r="119" spans="1:3" ht="13" x14ac:dyDescent="0.15">
      <c r="A119">
        <v>3</v>
      </c>
      <c r="B119">
        <v>271207000</v>
      </c>
      <c r="C119">
        <v>9</v>
      </c>
    </row>
    <row r="120" spans="1:3" ht="13" x14ac:dyDescent="0.15">
      <c r="A120">
        <v>3</v>
      </c>
      <c r="B120">
        <v>271212000</v>
      </c>
      <c r="C120">
        <v>1</v>
      </c>
    </row>
    <row r="121" spans="1:3" ht="13" x14ac:dyDescent="0.15">
      <c r="A121">
        <v>3</v>
      </c>
      <c r="B121">
        <v>271213000</v>
      </c>
      <c r="C121">
        <v>1</v>
      </c>
    </row>
    <row r="122" spans="1:3" ht="13" x14ac:dyDescent="0.15">
      <c r="A122">
        <v>3</v>
      </c>
      <c r="B122">
        <v>271214000</v>
      </c>
      <c r="C122">
        <v>6</v>
      </c>
    </row>
    <row r="123" spans="1:3" ht="13" x14ac:dyDescent="0.15">
      <c r="A123">
        <v>3</v>
      </c>
      <c r="B123">
        <v>271215000</v>
      </c>
      <c r="C123">
        <v>2</v>
      </c>
    </row>
    <row r="124" spans="1:3" ht="13" x14ac:dyDescent="0.15">
      <c r="A124">
        <v>3</v>
      </c>
      <c r="B124">
        <v>271221000</v>
      </c>
      <c r="C124">
        <v>6</v>
      </c>
    </row>
    <row r="125" spans="1:3" ht="13" x14ac:dyDescent="0.15">
      <c r="A125">
        <v>3</v>
      </c>
      <c r="B125">
        <v>271251000</v>
      </c>
      <c r="C125">
        <v>5</v>
      </c>
    </row>
    <row r="126" spans="1:3" ht="13" x14ac:dyDescent="0.15">
      <c r="A126">
        <v>3</v>
      </c>
      <c r="B126">
        <v>271257000</v>
      </c>
      <c r="C126">
        <v>1</v>
      </c>
    </row>
    <row r="127" spans="1:3" ht="13" x14ac:dyDescent="0.15">
      <c r="A127">
        <v>3</v>
      </c>
      <c r="B127">
        <v>271259000</v>
      </c>
      <c r="C127">
        <v>1</v>
      </c>
    </row>
    <row r="128" spans="1:3" ht="13" x14ac:dyDescent="0.15">
      <c r="A128">
        <v>3</v>
      </c>
      <c r="B128">
        <v>271260000</v>
      </c>
      <c r="C128">
        <v>1</v>
      </c>
    </row>
    <row r="129" spans="1:3" ht="13" x14ac:dyDescent="0.15">
      <c r="A129">
        <v>3</v>
      </c>
      <c r="B129">
        <v>271302000</v>
      </c>
      <c r="C129">
        <v>1</v>
      </c>
    </row>
    <row r="130" spans="1:3" ht="13" x14ac:dyDescent="0.15">
      <c r="A130">
        <v>3</v>
      </c>
      <c r="B130">
        <v>271306000</v>
      </c>
      <c r="C130">
        <v>2</v>
      </c>
    </row>
    <row r="131" spans="1:3" ht="13" x14ac:dyDescent="0.15">
      <c r="A131">
        <v>3</v>
      </c>
      <c r="B131">
        <v>271454000</v>
      </c>
      <c r="C131">
        <v>1</v>
      </c>
    </row>
    <row r="132" spans="1:3" ht="13" x14ac:dyDescent="0.15">
      <c r="A132">
        <v>3</v>
      </c>
      <c r="B132">
        <v>271503000</v>
      </c>
      <c r="C132">
        <v>4</v>
      </c>
    </row>
    <row r="133" spans="1:3" ht="13" x14ac:dyDescent="0.15">
      <c r="A133">
        <v>3</v>
      </c>
      <c r="B133">
        <v>271512000</v>
      </c>
      <c r="C133">
        <v>2</v>
      </c>
    </row>
    <row r="134" spans="1:3" ht="13" x14ac:dyDescent="0.15">
      <c r="A134">
        <v>3</v>
      </c>
      <c r="B134">
        <v>271604000</v>
      </c>
      <c r="C134">
        <v>2</v>
      </c>
    </row>
    <row r="135" spans="1:3" ht="13" x14ac:dyDescent="0.15">
      <c r="A135">
        <v>3</v>
      </c>
      <c r="B135">
        <v>271606000</v>
      </c>
      <c r="C135">
        <v>1</v>
      </c>
    </row>
    <row r="136" spans="1:3" ht="13" x14ac:dyDescent="0.15">
      <c r="A136">
        <v>3</v>
      </c>
      <c r="B136">
        <v>271608000</v>
      </c>
      <c r="C136">
        <v>1</v>
      </c>
    </row>
    <row r="137" spans="1:3" ht="13" x14ac:dyDescent="0.15">
      <c r="A137">
        <v>3</v>
      </c>
      <c r="B137">
        <v>271609000</v>
      </c>
      <c r="C137">
        <v>1</v>
      </c>
    </row>
    <row r="138" spans="1:3" ht="13" x14ac:dyDescent="0.15">
      <c r="A138">
        <v>3</v>
      </c>
      <c r="B138">
        <v>277143000</v>
      </c>
      <c r="C138">
        <v>2</v>
      </c>
    </row>
    <row r="139" spans="1:3" ht="13" x14ac:dyDescent="0.15">
      <c r="A139">
        <v>4</v>
      </c>
      <c r="B139">
        <v>270122000</v>
      </c>
      <c r="C139">
        <v>1</v>
      </c>
    </row>
    <row r="140" spans="1:3" ht="13" x14ac:dyDescent="0.15">
      <c r="A140">
        <v>4</v>
      </c>
      <c r="B140">
        <v>270140000</v>
      </c>
      <c r="C140">
        <v>2</v>
      </c>
    </row>
    <row r="141" spans="1:3" ht="13" x14ac:dyDescent="0.15">
      <c r="A141">
        <v>4</v>
      </c>
      <c r="B141">
        <v>270172000</v>
      </c>
      <c r="C141">
        <v>1</v>
      </c>
    </row>
    <row r="142" spans="1:3" ht="13" x14ac:dyDescent="0.15">
      <c r="A142">
        <v>4</v>
      </c>
      <c r="B142">
        <v>270204000</v>
      </c>
      <c r="C142">
        <v>1</v>
      </c>
    </row>
    <row r="143" spans="1:3" ht="13" x14ac:dyDescent="0.15">
      <c r="A143">
        <v>4</v>
      </c>
      <c r="B143">
        <v>270217000</v>
      </c>
      <c r="C143">
        <v>1</v>
      </c>
    </row>
    <row r="144" spans="1:3" ht="13" x14ac:dyDescent="0.15">
      <c r="A144">
        <v>4</v>
      </c>
      <c r="B144">
        <v>270303000</v>
      </c>
      <c r="C144">
        <v>1</v>
      </c>
    </row>
    <row r="145" spans="1:3" ht="13" x14ac:dyDescent="0.15">
      <c r="A145">
        <v>4</v>
      </c>
      <c r="B145">
        <v>270310000</v>
      </c>
      <c r="C145">
        <v>1</v>
      </c>
    </row>
    <row r="146" spans="1:3" ht="13" x14ac:dyDescent="0.15">
      <c r="A146">
        <v>4</v>
      </c>
      <c r="B146">
        <v>270316000</v>
      </c>
      <c r="C146">
        <v>3</v>
      </c>
    </row>
    <row r="147" spans="1:3" ht="13" x14ac:dyDescent="0.15">
      <c r="A147">
        <v>4</v>
      </c>
      <c r="B147">
        <v>270328000</v>
      </c>
      <c r="C147">
        <v>6</v>
      </c>
    </row>
    <row r="148" spans="1:3" ht="13" x14ac:dyDescent="0.15">
      <c r="A148">
        <v>4</v>
      </c>
      <c r="B148">
        <v>270411000</v>
      </c>
      <c r="C148">
        <v>2</v>
      </c>
    </row>
    <row r="149" spans="1:3" ht="13" x14ac:dyDescent="0.15">
      <c r="A149">
        <v>4</v>
      </c>
      <c r="B149">
        <v>270413000</v>
      </c>
      <c r="C149">
        <v>1</v>
      </c>
    </row>
    <row r="150" spans="1:3" ht="13" x14ac:dyDescent="0.15">
      <c r="A150">
        <v>4</v>
      </c>
      <c r="B150">
        <v>270710000</v>
      </c>
      <c r="C150">
        <v>6</v>
      </c>
    </row>
    <row r="151" spans="1:3" ht="13" x14ac:dyDescent="0.15">
      <c r="A151">
        <v>4</v>
      </c>
      <c r="B151">
        <v>270801000</v>
      </c>
      <c r="C151">
        <v>1</v>
      </c>
    </row>
    <row r="152" spans="1:3" ht="13" x14ac:dyDescent="0.15">
      <c r="A152">
        <v>4</v>
      </c>
      <c r="B152">
        <v>270803000</v>
      </c>
      <c r="C152">
        <v>4</v>
      </c>
    </row>
    <row r="153" spans="1:3" ht="13" x14ac:dyDescent="0.15">
      <c r="A153">
        <v>4</v>
      </c>
      <c r="B153">
        <v>270805000</v>
      </c>
      <c r="C153">
        <v>1</v>
      </c>
    </row>
    <row r="154" spans="1:3" ht="13" x14ac:dyDescent="0.15">
      <c r="A154">
        <v>4</v>
      </c>
      <c r="B154">
        <v>270806000</v>
      </c>
      <c r="C154">
        <v>1</v>
      </c>
    </row>
    <row r="155" spans="1:3" ht="13" x14ac:dyDescent="0.15">
      <c r="A155">
        <v>4</v>
      </c>
      <c r="B155">
        <v>270810000</v>
      </c>
      <c r="C155">
        <v>2</v>
      </c>
    </row>
    <row r="156" spans="1:3" ht="13" x14ac:dyDescent="0.15">
      <c r="A156">
        <v>4</v>
      </c>
      <c r="B156">
        <v>270903000</v>
      </c>
      <c r="C156">
        <v>2</v>
      </c>
    </row>
    <row r="157" spans="1:3" ht="13" x14ac:dyDescent="0.15">
      <c r="A157">
        <v>4</v>
      </c>
      <c r="B157">
        <v>270905000</v>
      </c>
      <c r="C157">
        <v>1</v>
      </c>
    </row>
    <row r="158" spans="1:3" ht="13" x14ac:dyDescent="0.15">
      <c r="A158">
        <v>4</v>
      </c>
      <c r="B158">
        <v>270906000</v>
      </c>
      <c r="C158">
        <v>1</v>
      </c>
    </row>
    <row r="159" spans="1:3" ht="13" x14ac:dyDescent="0.15">
      <c r="A159">
        <v>4</v>
      </c>
      <c r="B159">
        <v>270910000</v>
      </c>
      <c r="C159">
        <v>2</v>
      </c>
    </row>
    <row r="160" spans="1:3" ht="13" x14ac:dyDescent="0.15">
      <c r="A160">
        <v>4</v>
      </c>
      <c r="B160">
        <v>270926000</v>
      </c>
      <c r="C160">
        <v>4</v>
      </c>
    </row>
    <row r="161" spans="1:3" ht="13" x14ac:dyDescent="0.15">
      <c r="A161">
        <v>4</v>
      </c>
      <c r="B161">
        <v>271002000</v>
      </c>
      <c r="C161">
        <v>1</v>
      </c>
    </row>
    <row r="162" spans="1:3" ht="13" x14ac:dyDescent="0.15">
      <c r="A162">
        <v>4</v>
      </c>
      <c r="B162">
        <v>271005000</v>
      </c>
      <c r="C162">
        <v>1</v>
      </c>
    </row>
    <row r="163" spans="1:3" ht="13" x14ac:dyDescent="0.15">
      <c r="A163">
        <v>4</v>
      </c>
      <c r="B163">
        <v>271008000</v>
      </c>
      <c r="C163">
        <v>1</v>
      </c>
    </row>
    <row r="164" spans="1:3" ht="13" x14ac:dyDescent="0.15">
      <c r="A164">
        <v>4</v>
      </c>
      <c r="B164">
        <v>271010000</v>
      </c>
      <c r="C164">
        <v>1</v>
      </c>
    </row>
    <row r="165" spans="1:3" ht="13" x14ac:dyDescent="0.15">
      <c r="A165">
        <v>4</v>
      </c>
      <c r="B165">
        <v>271011000</v>
      </c>
      <c r="C165">
        <v>2</v>
      </c>
    </row>
    <row r="166" spans="1:3" ht="13" x14ac:dyDescent="0.15">
      <c r="A166">
        <v>4</v>
      </c>
      <c r="B166">
        <v>271020000</v>
      </c>
      <c r="C166">
        <v>3</v>
      </c>
    </row>
    <row r="167" spans="1:3" ht="13" x14ac:dyDescent="0.15">
      <c r="A167">
        <v>4</v>
      </c>
      <c r="B167">
        <v>271021000</v>
      </c>
      <c r="C167">
        <v>2</v>
      </c>
    </row>
    <row r="168" spans="1:3" ht="13" x14ac:dyDescent="0.15">
      <c r="A168">
        <v>4</v>
      </c>
      <c r="B168">
        <v>271059000</v>
      </c>
      <c r="C168">
        <v>9</v>
      </c>
    </row>
    <row r="169" spans="1:3" ht="13" x14ac:dyDescent="0.15">
      <c r="A169">
        <v>4</v>
      </c>
      <c r="B169">
        <v>271074000</v>
      </c>
      <c r="C169">
        <v>2</v>
      </c>
    </row>
    <row r="170" spans="1:3" ht="13" x14ac:dyDescent="0.15">
      <c r="A170">
        <v>4</v>
      </c>
      <c r="B170">
        <v>271206000</v>
      </c>
      <c r="C170">
        <v>5</v>
      </c>
    </row>
    <row r="171" spans="1:3" ht="13" x14ac:dyDescent="0.15">
      <c r="A171">
        <v>4</v>
      </c>
      <c r="B171">
        <v>271207000</v>
      </c>
      <c r="C171">
        <v>8</v>
      </c>
    </row>
    <row r="172" spans="1:3" ht="13" x14ac:dyDescent="0.15">
      <c r="A172">
        <v>4</v>
      </c>
      <c r="B172">
        <v>271211000</v>
      </c>
      <c r="C172">
        <v>1</v>
      </c>
    </row>
    <row r="173" spans="1:3" ht="13" x14ac:dyDescent="0.15">
      <c r="A173">
        <v>4</v>
      </c>
      <c r="B173">
        <v>271212000</v>
      </c>
      <c r="C173">
        <v>1</v>
      </c>
    </row>
    <row r="174" spans="1:3" ht="13" x14ac:dyDescent="0.15">
      <c r="A174">
        <v>4</v>
      </c>
      <c r="B174">
        <v>271213000</v>
      </c>
      <c r="C174">
        <v>3</v>
      </c>
    </row>
    <row r="175" spans="1:3" ht="13" x14ac:dyDescent="0.15">
      <c r="A175">
        <v>4</v>
      </c>
      <c r="B175">
        <v>271214000</v>
      </c>
      <c r="C175">
        <v>4</v>
      </c>
    </row>
    <row r="176" spans="1:3" ht="13" x14ac:dyDescent="0.15">
      <c r="A176">
        <v>4</v>
      </c>
      <c r="B176">
        <v>271215000</v>
      </c>
      <c r="C176">
        <v>3</v>
      </c>
    </row>
    <row r="177" spans="1:3" ht="13" x14ac:dyDescent="0.15">
      <c r="A177">
        <v>4</v>
      </c>
      <c r="B177">
        <v>271221000</v>
      </c>
      <c r="C177">
        <v>4</v>
      </c>
    </row>
    <row r="178" spans="1:3" ht="13" x14ac:dyDescent="0.15">
      <c r="A178">
        <v>4</v>
      </c>
      <c r="B178">
        <v>271236000</v>
      </c>
      <c r="C178">
        <v>1</v>
      </c>
    </row>
    <row r="179" spans="1:3" ht="13" x14ac:dyDescent="0.15">
      <c r="A179">
        <v>4</v>
      </c>
      <c r="B179">
        <v>271245000</v>
      </c>
      <c r="C179">
        <v>3</v>
      </c>
    </row>
    <row r="180" spans="1:3" ht="13" x14ac:dyDescent="0.15">
      <c r="A180">
        <v>4</v>
      </c>
      <c r="B180">
        <v>271259000</v>
      </c>
      <c r="C180">
        <v>1</v>
      </c>
    </row>
    <row r="181" spans="1:3" ht="13" x14ac:dyDescent="0.15">
      <c r="A181">
        <v>4</v>
      </c>
      <c r="B181">
        <v>271260000</v>
      </c>
      <c r="C181">
        <v>1</v>
      </c>
    </row>
    <row r="182" spans="1:3" ht="13" x14ac:dyDescent="0.15">
      <c r="A182">
        <v>4</v>
      </c>
      <c r="B182">
        <v>271301000</v>
      </c>
      <c r="C182">
        <v>1</v>
      </c>
    </row>
    <row r="183" spans="1:3" ht="13" x14ac:dyDescent="0.15">
      <c r="A183">
        <v>4</v>
      </c>
      <c r="B183">
        <v>271302000</v>
      </c>
      <c r="C183">
        <v>1</v>
      </c>
    </row>
    <row r="184" spans="1:3" ht="13" x14ac:dyDescent="0.15">
      <c r="A184">
        <v>4</v>
      </c>
      <c r="B184">
        <v>271453000</v>
      </c>
      <c r="C184">
        <v>1</v>
      </c>
    </row>
    <row r="185" spans="1:3" ht="13" x14ac:dyDescent="0.15">
      <c r="A185">
        <v>4</v>
      </c>
      <c r="B185">
        <v>271454000</v>
      </c>
      <c r="C185">
        <v>2</v>
      </c>
    </row>
    <row r="186" spans="1:3" ht="13" x14ac:dyDescent="0.15">
      <c r="A186">
        <v>4</v>
      </c>
      <c r="B186">
        <v>271455000</v>
      </c>
      <c r="C186">
        <v>1</v>
      </c>
    </row>
    <row r="187" spans="1:3" ht="13" x14ac:dyDescent="0.15">
      <c r="A187">
        <v>4</v>
      </c>
      <c r="B187">
        <v>271503000</v>
      </c>
      <c r="C187">
        <v>3</v>
      </c>
    </row>
    <row r="188" spans="1:3" ht="13" x14ac:dyDescent="0.15">
      <c r="A188">
        <v>4</v>
      </c>
      <c r="B188">
        <v>271513000</v>
      </c>
      <c r="C188">
        <v>1</v>
      </c>
    </row>
    <row r="189" spans="1:3" ht="13" x14ac:dyDescent="0.15">
      <c r="A189">
        <v>4</v>
      </c>
      <c r="B189">
        <v>271514000</v>
      </c>
      <c r="C189">
        <v>1</v>
      </c>
    </row>
    <row r="190" spans="1:3" ht="13" x14ac:dyDescent="0.15">
      <c r="A190">
        <v>4</v>
      </c>
      <c r="B190">
        <v>271604000</v>
      </c>
      <c r="C190">
        <v>2</v>
      </c>
    </row>
    <row r="191" spans="1:3" ht="13" x14ac:dyDescent="0.15">
      <c r="A191">
        <v>7</v>
      </c>
      <c r="B191">
        <v>270140000</v>
      </c>
      <c r="C191">
        <v>4</v>
      </c>
    </row>
    <row r="192" spans="1:3" ht="13" x14ac:dyDescent="0.15">
      <c r="A192">
        <v>7</v>
      </c>
      <c r="B192">
        <v>270204000</v>
      </c>
      <c r="C192">
        <v>2</v>
      </c>
    </row>
    <row r="193" spans="1:3" ht="13" x14ac:dyDescent="0.15">
      <c r="A193">
        <v>7</v>
      </c>
      <c r="B193">
        <v>270217000</v>
      </c>
      <c r="C193">
        <v>2</v>
      </c>
    </row>
    <row r="194" spans="1:3" ht="13" x14ac:dyDescent="0.15">
      <c r="A194">
        <v>7</v>
      </c>
      <c r="B194">
        <v>270303000</v>
      </c>
      <c r="C194">
        <v>3</v>
      </c>
    </row>
    <row r="195" spans="1:3" ht="13" x14ac:dyDescent="0.15">
      <c r="A195">
        <v>7</v>
      </c>
      <c r="B195">
        <v>270304000</v>
      </c>
      <c r="C195">
        <v>1</v>
      </c>
    </row>
    <row r="196" spans="1:3" ht="13" x14ac:dyDescent="0.15">
      <c r="A196">
        <v>7</v>
      </c>
      <c r="B196">
        <v>270310000</v>
      </c>
      <c r="C196">
        <v>2</v>
      </c>
    </row>
    <row r="197" spans="1:3" ht="13" x14ac:dyDescent="0.15">
      <c r="A197">
        <v>7</v>
      </c>
      <c r="B197">
        <v>270316000</v>
      </c>
      <c r="C197">
        <v>3</v>
      </c>
    </row>
    <row r="198" spans="1:3" ht="13" x14ac:dyDescent="0.15">
      <c r="A198">
        <v>7</v>
      </c>
      <c r="B198">
        <v>270328000</v>
      </c>
      <c r="C198">
        <v>3</v>
      </c>
    </row>
    <row r="199" spans="1:3" ht="13" x14ac:dyDescent="0.15">
      <c r="A199">
        <v>7</v>
      </c>
      <c r="B199">
        <v>270330000</v>
      </c>
      <c r="C199">
        <v>1</v>
      </c>
    </row>
    <row r="200" spans="1:3" ht="13" x14ac:dyDescent="0.15">
      <c r="A200">
        <v>7</v>
      </c>
      <c r="B200">
        <v>270403000</v>
      </c>
      <c r="C200">
        <v>2</v>
      </c>
    </row>
    <row r="201" spans="1:3" ht="13" x14ac:dyDescent="0.15">
      <c r="A201">
        <v>7</v>
      </c>
      <c r="B201">
        <v>270408000</v>
      </c>
      <c r="C201">
        <v>2</v>
      </c>
    </row>
    <row r="202" spans="1:3" ht="13" x14ac:dyDescent="0.15">
      <c r="A202">
        <v>7</v>
      </c>
      <c r="B202">
        <v>270411000</v>
      </c>
      <c r="C202">
        <v>4</v>
      </c>
    </row>
    <row r="203" spans="1:3" ht="13" x14ac:dyDescent="0.15">
      <c r="A203">
        <v>7</v>
      </c>
      <c r="B203">
        <v>270716000</v>
      </c>
      <c r="C203">
        <v>1</v>
      </c>
    </row>
    <row r="204" spans="1:3" ht="13" x14ac:dyDescent="0.15">
      <c r="A204">
        <v>7</v>
      </c>
      <c r="B204">
        <v>270810000</v>
      </c>
      <c r="C204">
        <v>2</v>
      </c>
    </row>
    <row r="205" spans="1:3" ht="13" x14ac:dyDescent="0.15">
      <c r="A205">
        <v>7</v>
      </c>
      <c r="B205">
        <v>270905000</v>
      </c>
      <c r="C205">
        <v>3</v>
      </c>
    </row>
    <row r="206" spans="1:3" ht="13" x14ac:dyDescent="0.15">
      <c r="A206">
        <v>7</v>
      </c>
      <c r="B206">
        <v>270906000</v>
      </c>
      <c r="C206">
        <v>1</v>
      </c>
    </row>
    <row r="207" spans="1:3" ht="13" x14ac:dyDescent="0.15">
      <c r="A207">
        <v>7</v>
      </c>
      <c r="B207">
        <v>270910000</v>
      </c>
      <c r="C207">
        <v>1</v>
      </c>
    </row>
    <row r="208" spans="1:3" ht="13" x14ac:dyDescent="0.15">
      <c r="A208">
        <v>7</v>
      </c>
      <c r="B208">
        <v>270926000</v>
      </c>
      <c r="C208">
        <v>3</v>
      </c>
    </row>
    <row r="209" spans="1:3" ht="13" x14ac:dyDescent="0.15">
      <c r="A209">
        <v>7</v>
      </c>
      <c r="B209">
        <v>271002000</v>
      </c>
      <c r="C209">
        <v>1</v>
      </c>
    </row>
    <row r="210" spans="1:3" ht="13" x14ac:dyDescent="0.15">
      <c r="A210">
        <v>7</v>
      </c>
      <c r="B210">
        <v>271006000</v>
      </c>
      <c r="C210">
        <v>2</v>
      </c>
    </row>
    <row r="211" spans="1:3" ht="13" x14ac:dyDescent="0.15">
      <c r="A211">
        <v>7</v>
      </c>
      <c r="B211">
        <v>271008000</v>
      </c>
      <c r="C211">
        <v>2</v>
      </c>
    </row>
    <row r="212" spans="1:3" ht="13" x14ac:dyDescent="0.15">
      <c r="A212">
        <v>7</v>
      </c>
      <c r="B212">
        <v>271010000</v>
      </c>
      <c r="C212">
        <v>1</v>
      </c>
    </row>
    <row r="213" spans="1:3" ht="13" x14ac:dyDescent="0.15">
      <c r="A213">
        <v>7</v>
      </c>
      <c r="B213">
        <v>271011000</v>
      </c>
      <c r="C213">
        <v>1</v>
      </c>
    </row>
    <row r="214" spans="1:3" ht="13" x14ac:dyDescent="0.15">
      <c r="A214">
        <v>7</v>
      </c>
      <c r="B214">
        <v>271020000</v>
      </c>
      <c r="C214">
        <v>1</v>
      </c>
    </row>
    <row r="215" spans="1:3" ht="13" x14ac:dyDescent="0.15">
      <c r="A215">
        <v>7</v>
      </c>
      <c r="B215">
        <v>271059000</v>
      </c>
      <c r="C215">
        <v>3</v>
      </c>
    </row>
    <row r="216" spans="1:3" ht="13" x14ac:dyDescent="0.15">
      <c r="A216">
        <v>7</v>
      </c>
      <c r="B216">
        <v>271073000</v>
      </c>
      <c r="C216">
        <v>1</v>
      </c>
    </row>
    <row r="217" spans="1:3" ht="13" x14ac:dyDescent="0.15">
      <c r="A217">
        <v>7</v>
      </c>
      <c r="B217">
        <v>271074000</v>
      </c>
      <c r="C217">
        <v>1</v>
      </c>
    </row>
    <row r="218" spans="1:3" ht="13" x14ac:dyDescent="0.15">
      <c r="A218">
        <v>7</v>
      </c>
      <c r="B218">
        <v>271206000</v>
      </c>
      <c r="C218">
        <v>4</v>
      </c>
    </row>
    <row r="219" spans="1:3" ht="13" x14ac:dyDescent="0.15">
      <c r="A219">
        <v>7</v>
      </c>
      <c r="B219">
        <v>271207000</v>
      </c>
      <c r="C219">
        <v>4</v>
      </c>
    </row>
    <row r="220" spans="1:3" ht="13" x14ac:dyDescent="0.15">
      <c r="A220">
        <v>7</v>
      </c>
      <c r="B220">
        <v>271212000</v>
      </c>
      <c r="C220">
        <v>2</v>
      </c>
    </row>
    <row r="221" spans="1:3" ht="13" x14ac:dyDescent="0.15">
      <c r="A221">
        <v>7</v>
      </c>
      <c r="B221">
        <v>271213000</v>
      </c>
      <c r="C221">
        <v>1</v>
      </c>
    </row>
    <row r="222" spans="1:3" ht="13" x14ac:dyDescent="0.15">
      <c r="A222">
        <v>7</v>
      </c>
      <c r="B222">
        <v>271214000</v>
      </c>
      <c r="C222">
        <v>2</v>
      </c>
    </row>
    <row r="223" spans="1:3" ht="13" x14ac:dyDescent="0.15">
      <c r="A223">
        <v>7</v>
      </c>
      <c r="B223">
        <v>271215000</v>
      </c>
      <c r="C223">
        <v>3</v>
      </c>
    </row>
    <row r="224" spans="1:3" ht="13" x14ac:dyDescent="0.15">
      <c r="A224">
        <v>7</v>
      </c>
      <c r="B224">
        <v>271236000</v>
      </c>
      <c r="C224">
        <v>2</v>
      </c>
    </row>
    <row r="225" spans="1:3" ht="13" x14ac:dyDescent="0.15">
      <c r="A225">
        <v>7</v>
      </c>
      <c r="B225">
        <v>271251000</v>
      </c>
      <c r="C225">
        <v>13</v>
      </c>
    </row>
    <row r="226" spans="1:3" ht="13" x14ac:dyDescent="0.15">
      <c r="A226">
        <v>7</v>
      </c>
      <c r="B226">
        <v>271257000</v>
      </c>
      <c r="C226">
        <v>5</v>
      </c>
    </row>
    <row r="227" spans="1:3" ht="13" x14ac:dyDescent="0.15">
      <c r="A227">
        <v>7</v>
      </c>
      <c r="B227">
        <v>271259000</v>
      </c>
      <c r="C227">
        <v>1</v>
      </c>
    </row>
    <row r="228" spans="1:3" ht="13" x14ac:dyDescent="0.15">
      <c r="A228">
        <v>7</v>
      </c>
      <c r="B228">
        <v>271260000</v>
      </c>
      <c r="C228">
        <v>1</v>
      </c>
    </row>
    <row r="229" spans="1:3" ht="13" x14ac:dyDescent="0.15">
      <c r="A229">
        <v>7</v>
      </c>
      <c r="B229">
        <v>271301000</v>
      </c>
      <c r="C229">
        <v>2</v>
      </c>
    </row>
    <row r="230" spans="1:3" ht="13" x14ac:dyDescent="0.15">
      <c r="A230">
        <v>7</v>
      </c>
      <c r="B230">
        <v>271306000</v>
      </c>
      <c r="C230">
        <v>3</v>
      </c>
    </row>
    <row r="231" spans="1:3" ht="13" x14ac:dyDescent="0.15">
      <c r="A231">
        <v>7</v>
      </c>
      <c r="B231">
        <v>271454000</v>
      </c>
      <c r="C231">
        <v>1</v>
      </c>
    </row>
    <row r="232" spans="1:3" ht="13" x14ac:dyDescent="0.15">
      <c r="A232">
        <v>7</v>
      </c>
      <c r="B232">
        <v>271503000</v>
      </c>
      <c r="C232">
        <v>2</v>
      </c>
    </row>
    <row r="233" spans="1:3" ht="13" x14ac:dyDescent="0.15">
      <c r="A233">
        <v>7</v>
      </c>
      <c r="B233">
        <v>271512000</v>
      </c>
      <c r="C233">
        <v>4</v>
      </c>
    </row>
    <row r="234" spans="1:3" ht="13" x14ac:dyDescent="0.15">
      <c r="A234">
        <v>7</v>
      </c>
      <c r="B234">
        <v>271513000</v>
      </c>
      <c r="C234">
        <v>1</v>
      </c>
    </row>
    <row r="235" spans="1:3" ht="13" x14ac:dyDescent="0.15">
      <c r="A235">
        <v>7</v>
      </c>
      <c r="B235">
        <v>271514000</v>
      </c>
      <c r="C235">
        <v>1</v>
      </c>
    </row>
    <row r="236" spans="1:3" ht="13" x14ac:dyDescent="0.15">
      <c r="A236">
        <v>7</v>
      </c>
      <c r="B236">
        <v>271604000</v>
      </c>
      <c r="C236">
        <v>1</v>
      </c>
    </row>
    <row r="237" spans="1:3" ht="13" x14ac:dyDescent="0.15">
      <c r="A237">
        <v>7</v>
      </c>
      <c r="B237">
        <v>277143000</v>
      </c>
      <c r="C237">
        <v>2</v>
      </c>
    </row>
    <row r="238" spans="1:3" ht="13" x14ac:dyDescent="0.15">
      <c r="A238">
        <v>8</v>
      </c>
      <c r="B238">
        <v>270140000</v>
      </c>
      <c r="C238">
        <v>3</v>
      </c>
    </row>
    <row r="239" spans="1:3" ht="13" x14ac:dyDescent="0.15">
      <c r="A239">
        <v>8</v>
      </c>
      <c r="B239">
        <v>270204000</v>
      </c>
      <c r="C239">
        <v>1</v>
      </c>
    </row>
    <row r="240" spans="1:3" ht="13" x14ac:dyDescent="0.15">
      <c r="A240">
        <v>8</v>
      </c>
      <c r="B240">
        <v>270310000</v>
      </c>
      <c r="C240">
        <v>1</v>
      </c>
    </row>
    <row r="241" spans="1:3" ht="13" x14ac:dyDescent="0.15">
      <c r="A241">
        <v>8</v>
      </c>
      <c r="B241">
        <v>270316000</v>
      </c>
      <c r="C241">
        <v>1</v>
      </c>
    </row>
    <row r="242" spans="1:3" ht="13" x14ac:dyDescent="0.15">
      <c r="A242">
        <v>8</v>
      </c>
      <c r="B242">
        <v>270328000</v>
      </c>
      <c r="C242">
        <v>3</v>
      </c>
    </row>
    <row r="243" spans="1:3" ht="13" x14ac:dyDescent="0.15">
      <c r="A243">
        <v>8</v>
      </c>
      <c r="B243">
        <v>270412000</v>
      </c>
      <c r="C243">
        <v>3</v>
      </c>
    </row>
    <row r="244" spans="1:3" ht="13" x14ac:dyDescent="0.15">
      <c r="A244">
        <v>8</v>
      </c>
      <c r="B244">
        <v>270710000</v>
      </c>
      <c r="C244">
        <v>3</v>
      </c>
    </row>
    <row r="245" spans="1:3" ht="13" x14ac:dyDescent="0.15">
      <c r="A245">
        <v>8</v>
      </c>
      <c r="B245">
        <v>270803000</v>
      </c>
      <c r="C245">
        <v>1</v>
      </c>
    </row>
    <row r="246" spans="1:3" ht="13" x14ac:dyDescent="0.15">
      <c r="A246">
        <v>8</v>
      </c>
      <c r="B246">
        <v>270806000</v>
      </c>
      <c r="C246">
        <v>1</v>
      </c>
    </row>
    <row r="247" spans="1:3" ht="13" x14ac:dyDescent="0.15">
      <c r="A247">
        <v>8</v>
      </c>
      <c r="B247">
        <v>270810000</v>
      </c>
      <c r="C247">
        <v>1</v>
      </c>
    </row>
    <row r="248" spans="1:3" ht="13" x14ac:dyDescent="0.15">
      <c r="A248">
        <v>8</v>
      </c>
      <c r="B248">
        <v>270903000</v>
      </c>
      <c r="C248">
        <v>2</v>
      </c>
    </row>
    <row r="249" spans="1:3" ht="13" x14ac:dyDescent="0.15">
      <c r="A249">
        <v>8</v>
      </c>
      <c r="B249">
        <v>270905000</v>
      </c>
      <c r="C249">
        <v>1</v>
      </c>
    </row>
    <row r="250" spans="1:3" ht="13" x14ac:dyDescent="0.15">
      <c r="A250">
        <v>8</v>
      </c>
      <c r="B250">
        <v>270906000</v>
      </c>
      <c r="C250">
        <v>1</v>
      </c>
    </row>
    <row r="251" spans="1:3" ht="13" x14ac:dyDescent="0.15">
      <c r="A251">
        <v>8</v>
      </c>
      <c r="B251">
        <v>270926000</v>
      </c>
      <c r="C251">
        <v>2</v>
      </c>
    </row>
    <row r="252" spans="1:3" ht="13" x14ac:dyDescent="0.15">
      <c r="A252">
        <v>8</v>
      </c>
      <c r="B252">
        <v>271006000</v>
      </c>
      <c r="C252">
        <v>2</v>
      </c>
    </row>
    <row r="253" spans="1:3" ht="13" x14ac:dyDescent="0.15">
      <c r="A253">
        <v>8</v>
      </c>
      <c r="B253">
        <v>271010000</v>
      </c>
      <c r="C253">
        <v>1</v>
      </c>
    </row>
    <row r="254" spans="1:3" ht="13" x14ac:dyDescent="0.15">
      <c r="A254">
        <v>8</v>
      </c>
      <c r="B254">
        <v>271011000</v>
      </c>
      <c r="C254">
        <v>3</v>
      </c>
    </row>
    <row r="255" spans="1:3" ht="13" x14ac:dyDescent="0.15">
      <c r="A255">
        <v>8</v>
      </c>
      <c r="B255">
        <v>271020000</v>
      </c>
      <c r="C255">
        <v>1</v>
      </c>
    </row>
    <row r="256" spans="1:3" ht="13" x14ac:dyDescent="0.15">
      <c r="A256">
        <v>8</v>
      </c>
      <c r="B256">
        <v>271059000</v>
      </c>
      <c r="C256">
        <v>4</v>
      </c>
    </row>
    <row r="257" spans="1:3" ht="13" x14ac:dyDescent="0.15">
      <c r="A257">
        <v>8</v>
      </c>
      <c r="B257">
        <v>271074000</v>
      </c>
      <c r="C257">
        <v>2</v>
      </c>
    </row>
    <row r="258" spans="1:3" ht="13" x14ac:dyDescent="0.15">
      <c r="A258">
        <v>8</v>
      </c>
      <c r="B258">
        <v>271206000</v>
      </c>
      <c r="C258">
        <v>4</v>
      </c>
    </row>
    <row r="259" spans="1:3" ht="13" x14ac:dyDescent="0.15">
      <c r="A259">
        <v>8</v>
      </c>
      <c r="B259">
        <v>271207000</v>
      </c>
      <c r="C259">
        <v>3</v>
      </c>
    </row>
    <row r="260" spans="1:3" ht="13" x14ac:dyDescent="0.15">
      <c r="A260">
        <v>8</v>
      </c>
      <c r="B260">
        <v>271214000</v>
      </c>
      <c r="C260">
        <v>2</v>
      </c>
    </row>
    <row r="261" spans="1:3" ht="13" x14ac:dyDescent="0.15">
      <c r="A261">
        <v>8</v>
      </c>
      <c r="B261">
        <v>271215000</v>
      </c>
      <c r="C261">
        <v>1</v>
      </c>
    </row>
    <row r="262" spans="1:3" ht="13" x14ac:dyDescent="0.15">
      <c r="A262">
        <v>8</v>
      </c>
      <c r="B262">
        <v>271221000</v>
      </c>
      <c r="C262">
        <v>1</v>
      </c>
    </row>
    <row r="263" spans="1:3" ht="13" x14ac:dyDescent="0.15">
      <c r="A263">
        <v>8</v>
      </c>
      <c r="B263">
        <v>271259000</v>
      </c>
      <c r="C263">
        <v>1</v>
      </c>
    </row>
    <row r="264" spans="1:3" ht="13" x14ac:dyDescent="0.15">
      <c r="A264">
        <v>8</v>
      </c>
      <c r="B264">
        <v>271503000</v>
      </c>
      <c r="C264">
        <v>1</v>
      </c>
    </row>
    <row r="265" spans="1:3" ht="13" x14ac:dyDescent="0.15">
      <c r="A265">
        <v>8</v>
      </c>
      <c r="B265">
        <v>271612000</v>
      </c>
      <c r="C265">
        <v>1</v>
      </c>
    </row>
    <row r="266" spans="1:3" ht="13" x14ac:dyDescent="0.15">
      <c r="A266">
        <v>11</v>
      </c>
      <c r="B266">
        <v>270114000</v>
      </c>
      <c r="C266">
        <v>1</v>
      </c>
    </row>
    <row r="267" spans="1:3" ht="13" x14ac:dyDescent="0.15">
      <c r="A267">
        <v>11</v>
      </c>
      <c r="B267">
        <v>270122000</v>
      </c>
      <c r="C267">
        <v>2</v>
      </c>
    </row>
    <row r="268" spans="1:3" ht="13" x14ac:dyDescent="0.15">
      <c r="A268">
        <v>11</v>
      </c>
      <c r="B268">
        <v>270140000</v>
      </c>
      <c r="C268">
        <v>2</v>
      </c>
    </row>
    <row r="269" spans="1:3" ht="13" x14ac:dyDescent="0.15">
      <c r="A269">
        <v>11</v>
      </c>
      <c r="B269">
        <v>270168000</v>
      </c>
      <c r="C269">
        <v>1</v>
      </c>
    </row>
    <row r="270" spans="1:3" ht="13" x14ac:dyDescent="0.15">
      <c r="A270">
        <v>11</v>
      </c>
      <c r="B270">
        <v>270172000</v>
      </c>
      <c r="C270">
        <v>4</v>
      </c>
    </row>
    <row r="271" spans="1:3" ht="13" x14ac:dyDescent="0.15">
      <c r="A271">
        <v>11</v>
      </c>
      <c r="B271">
        <v>270180000</v>
      </c>
      <c r="C271">
        <v>1</v>
      </c>
    </row>
    <row r="272" spans="1:3" ht="13" x14ac:dyDescent="0.15">
      <c r="A272">
        <v>11</v>
      </c>
      <c r="B272">
        <v>270204000</v>
      </c>
      <c r="C272">
        <v>5</v>
      </c>
    </row>
    <row r="273" spans="1:3" ht="13" x14ac:dyDescent="0.15">
      <c r="A273">
        <v>11</v>
      </c>
      <c r="B273">
        <v>270217000</v>
      </c>
      <c r="C273">
        <v>4</v>
      </c>
    </row>
    <row r="274" spans="1:3" ht="13" x14ac:dyDescent="0.15">
      <c r="A274">
        <v>11</v>
      </c>
      <c r="B274">
        <v>270242000</v>
      </c>
      <c r="C274">
        <v>1</v>
      </c>
    </row>
    <row r="275" spans="1:3" ht="13" x14ac:dyDescent="0.15">
      <c r="A275">
        <v>11</v>
      </c>
      <c r="B275">
        <v>270271000</v>
      </c>
      <c r="C275">
        <v>3</v>
      </c>
    </row>
    <row r="276" spans="1:3" ht="13" x14ac:dyDescent="0.15">
      <c r="A276">
        <v>11</v>
      </c>
      <c r="B276">
        <v>270273000</v>
      </c>
      <c r="C276">
        <v>2</v>
      </c>
    </row>
    <row r="277" spans="1:3" ht="13" x14ac:dyDescent="0.15">
      <c r="A277">
        <v>11</v>
      </c>
      <c r="B277">
        <v>270274000</v>
      </c>
      <c r="C277">
        <v>1</v>
      </c>
    </row>
    <row r="278" spans="1:3" ht="13" x14ac:dyDescent="0.15">
      <c r="A278">
        <v>11</v>
      </c>
      <c r="B278">
        <v>270275000</v>
      </c>
      <c r="C278">
        <v>1</v>
      </c>
    </row>
    <row r="279" spans="1:3" ht="13" x14ac:dyDescent="0.15">
      <c r="A279">
        <v>11</v>
      </c>
      <c r="B279">
        <v>270277000</v>
      </c>
      <c r="C279">
        <v>1</v>
      </c>
    </row>
    <row r="280" spans="1:3" ht="13" x14ac:dyDescent="0.15">
      <c r="A280">
        <v>11</v>
      </c>
      <c r="B280">
        <v>270286000</v>
      </c>
      <c r="C280">
        <v>2</v>
      </c>
    </row>
    <row r="281" spans="1:3" ht="13" x14ac:dyDescent="0.15">
      <c r="A281">
        <v>11</v>
      </c>
      <c r="B281">
        <v>270303000</v>
      </c>
      <c r="C281">
        <v>2</v>
      </c>
    </row>
    <row r="282" spans="1:3" ht="13" x14ac:dyDescent="0.15">
      <c r="A282">
        <v>11</v>
      </c>
      <c r="B282">
        <v>270304000</v>
      </c>
      <c r="C282">
        <v>4</v>
      </c>
    </row>
    <row r="283" spans="1:3" ht="13" x14ac:dyDescent="0.15">
      <c r="A283">
        <v>11</v>
      </c>
      <c r="B283">
        <v>270310000</v>
      </c>
      <c r="C283">
        <v>1</v>
      </c>
    </row>
    <row r="284" spans="1:3" ht="13" x14ac:dyDescent="0.15">
      <c r="A284">
        <v>11</v>
      </c>
      <c r="B284">
        <v>270316000</v>
      </c>
      <c r="C284">
        <v>4</v>
      </c>
    </row>
    <row r="285" spans="1:3" ht="13" x14ac:dyDescent="0.15">
      <c r="A285">
        <v>11</v>
      </c>
      <c r="B285">
        <v>270328000</v>
      </c>
      <c r="C285">
        <v>6</v>
      </c>
    </row>
    <row r="286" spans="1:3" ht="13" x14ac:dyDescent="0.15">
      <c r="A286">
        <v>11</v>
      </c>
      <c r="B286">
        <v>270330000</v>
      </c>
      <c r="C286">
        <v>3</v>
      </c>
    </row>
    <row r="287" spans="1:3" ht="13" x14ac:dyDescent="0.15">
      <c r="A287">
        <v>11</v>
      </c>
      <c r="B287">
        <v>270403000</v>
      </c>
      <c r="C287">
        <v>1</v>
      </c>
    </row>
    <row r="288" spans="1:3" ht="13" x14ac:dyDescent="0.15">
      <c r="A288">
        <v>11</v>
      </c>
      <c r="B288">
        <v>270405000</v>
      </c>
      <c r="C288">
        <v>1</v>
      </c>
    </row>
    <row r="289" spans="1:3" ht="13" x14ac:dyDescent="0.15">
      <c r="A289">
        <v>11</v>
      </c>
      <c r="B289">
        <v>270411000</v>
      </c>
      <c r="C289">
        <v>1</v>
      </c>
    </row>
    <row r="290" spans="1:3" ht="13" x14ac:dyDescent="0.15">
      <c r="A290">
        <v>11</v>
      </c>
      <c r="B290">
        <v>270413000</v>
      </c>
      <c r="C290">
        <v>1</v>
      </c>
    </row>
    <row r="291" spans="1:3" ht="13" x14ac:dyDescent="0.15">
      <c r="A291">
        <v>11</v>
      </c>
      <c r="B291">
        <v>270710000</v>
      </c>
      <c r="C291">
        <v>6</v>
      </c>
    </row>
    <row r="292" spans="1:3" ht="13" x14ac:dyDescent="0.15">
      <c r="A292">
        <v>11</v>
      </c>
      <c r="B292">
        <v>270717000</v>
      </c>
      <c r="C292">
        <v>1</v>
      </c>
    </row>
    <row r="293" spans="1:3" ht="13" x14ac:dyDescent="0.15">
      <c r="A293">
        <v>11</v>
      </c>
      <c r="B293">
        <v>270805000</v>
      </c>
      <c r="C293">
        <v>1</v>
      </c>
    </row>
    <row r="294" spans="1:3" ht="13" x14ac:dyDescent="0.15">
      <c r="A294">
        <v>11</v>
      </c>
      <c r="B294">
        <v>270810000</v>
      </c>
      <c r="C294">
        <v>2</v>
      </c>
    </row>
    <row r="295" spans="1:3" ht="13" x14ac:dyDescent="0.15">
      <c r="A295">
        <v>11</v>
      </c>
      <c r="B295">
        <v>270903000</v>
      </c>
      <c r="C295">
        <v>1</v>
      </c>
    </row>
    <row r="296" spans="1:3" ht="13" x14ac:dyDescent="0.15">
      <c r="A296">
        <v>11</v>
      </c>
      <c r="B296">
        <v>270910000</v>
      </c>
      <c r="C296">
        <v>3</v>
      </c>
    </row>
    <row r="297" spans="1:3" ht="13" x14ac:dyDescent="0.15">
      <c r="A297">
        <v>11</v>
      </c>
      <c r="B297">
        <v>271074000</v>
      </c>
      <c r="C297">
        <v>3</v>
      </c>
    </row>
    <row r="298" spans="1:3" ht="13" x14ac:dyDescent="0.15">
      <c r="A298">
        <v>11</v>
      </c>
      <c r="B298">
        <v>271207000</v>
      </c>
      <c r="C298">
        <v>11</v>
      </c>
    </row>
    <row r="299" spans="1:3" ht="13" x14ac:dyDescent="0.15">
      <c r="A299">
        <v>11</v>
      </c>
      <c r="B299">
        <v>271211000</v>
      </c>
      <c r="C299">
        <v>1</v>
      </c>
    </row>
    <row r="300" spans="1:3" ht="13" x14ac:dyDescent="0.15">
      <c r="A300">
        <v>11</v>
      </c>
      <c r="B300">
        <v>271212000</v>
      </c>
      <c r="C300">
        <v>8</v>
      </c>
    </row>
    <row r="301" spans="1:3" ht="13" x14ac:dyDescent="0.15">
      <c r="A301">
        <v>11</v>
      </c>
      <c r="B301">
        <v>271213000</v>
      </c>
      <c r="C301">
        <v>7</v>
      </c>
    </row>
    <row r="302" spans="1:3" ht="13" x14ac:dyDescent="0.15">
      <c r="A302">
        <v>11</v>
      </c>
      <c r="B302">
        <v>271215000</v>
      </c>
      <c r="C302">
        <v>3</v>
      </c>
    </row>
    <row r="303" spans="1:3" ht="13" x14ac:dyDescent="0.15">
      <c r="A303">
        <v>11</v>
      </c>
      <c r="B303">
        <v>271216000</v>
      </c>
      <c r="C303">
        <v>11</v>
      </c>
    </row>
    <row r="304" spans="1:3" ht="13" x14ac:dyDescent="0.15">
      <c r="A304">
        <v>11</v>
      </c>
      <c r="B304">
        <v>271221000</v>
      </c>
      <c r="C304">
        <v>1</v>
      </c>
    </row>
    <row r="305" spans="1:3" ht="13" x14ac:dyDescent="0.15">
      <c r="A305">
        <v>11</v>
      </c>
      <c r="B305">
        <v>271259000</v>
      </c>
      <c r="C305">
        <v>1</v>
      </c>
    </row>
    <row r="306" spans="1:3" ht="13" x14ac:dyDescent="0.15">
      <c r="A306">
        <v>11</v>
      </c>
      <c r="B306">
        <v>271260000</v>
      </c>
      <c r="C306">
        <v>1</v>
      </c>
    </row>
    <row r="307" spans="1:3" ht="13" x14ac:dyDescent="0.15">
      <c r="A307">
        <v>11</v>
      </c>
      <c r="B307">
        <v>271301000</v>
      </c>
      <c r="C307">
        <v>2</v>
      </c>
    </row>
    <row r="308" spans="1:3" ht="13" x14ac:dyDescent="0.15">
      <c r="A308">
        <v>11</v>
      </c>
      <c r="B308">
        <v>271306000</v>
      </c>
      <c r="C308">
        <v>2</v>
      </c>
    </row>
    <row r="309" spans="1:3" ht="13" x14ac:dyDescent="0.15">
      <c r="A309">
        <v>11</v>
      </c>
      <c r="B309">
        <v>271455000</v>
      </c>
      <c r="C309">
        <v>1</v>
      </c>
    </row>
    <row r="310" spans="1:3" ht="13" x14ac:dyDescent="0.15">
      <c r="A310">
        <v>11</v>
      </c>
      <c r="B310">
        <v>271503000</v>
      </c>
      <c r="C310">
        <v>5</v>
      </c>
    </row>
    <row r="311" spans="1:3" ht="13" x14ac:dyDescent="0.15">
      <c r="A311">
        <v>11</v>
      </c>
      <c r="B311">
        <v>271512000</v>
      </c>
      <c r="C311">
        <v>1</v>
      </c>
    </row>
    <row r="312" spans="1:3" ht="13" x14ac:dyDescent="0.15">
      <c r="A312">
        <v>11</v>
      </c>
      <c r="B312">
        <v>271514000</v>
      </c>
      <c r="C312">
        <v>1</v>
      </c>
    </row>
    <row r="313" spans="1:3" ht="13" x14ac:dyDescent="0.15">
      <c r="A313">
        <v>11</v>
      </c>
      <c r="B313">
        <v>271606000</v>
      </c>
      <c r="C313">
        <v>1</v>
      </c>
    </row>
    <row r="314" spans="1:3" ht="13" x14ac:dyDescent="0.15">
      <c r="A314">
        <v>15</v>
      </c>
      <c r="B314">
        <v>270122000</v>
      </c>
      <c r="C314">
        <v>3</v>
      </c>
    </row>
    <row r="315" spans="1:3" ht="13" x14ac:dyDescent="0.15">
      <c r="A315">
        <v>15</v>
      </c>
      <c r="B315">
        <v>270140000</v>
      </c>
      <c r="C315">
        <v>6</v>
      </c>
    </row>
    <row r="316" spans="1:3" ht="13" x14ac:dyDescent="0.15">
      <c r="A316">
        <v>15</v>
      </c>
      <c r="B316">
        <v>270162000</v>
      </c>
      <c r="C316">
        <v>1</v>
      </c>
    </row>
    <row r="317" spans="1:3" ht="13" x14ac:dyDescent="0.15">
      <c r="A317">
        <v>15</v>
      </c>
      <c r="B317">
        <v>270167000</v>
      </c>
      <c r="C317">
        <v>1</v>
      </c>
    </row>
    <row r="318" spans="1:3" ht="13" x14ac:dyDescent="0.15">
      <c r="A318">
        <v>15</v>
      </c>
      <c r="B318">
        <v>270168000</v>
      </c>
      <c r="C318">
        <v>1</v>
      </c>
    </row>
    <row r="319" spans="1:3" ht="13" x14ac:dyDescent="0.15">
      <c r="A319">
        <v>15</v>
      </c>
      <c r="B319">
        <v>270172000</v>
      </c>
      <c r="C319">
        <v>1</v>
      </c>
    </row>
    <row r="320" spans="1:3" ht="13" x14ac:dyDescent="0.15">
      <c r="A320">
        <v>15</v>
      </c>
      <c r="B320">
        <v>270180000</v>
      </c>
      <c r="C320">
        <v>3</v>
      </c>
    </row>
    <row r="321" spans="1:3" ht="13" x14ac:dyDescent="0.15">
      <c r="A321">
        <v>15</v>
      </c>
      <c r="B321">
        <v>270217000</v>
      </c>
      <c r="C321">
        <v>2</v>
      </c>
    </row>
    <row r="322" spans="1:3" ht="13" x14ac:dyDescent="0.15">
      <c r="A322">
        <v>15</v>
      </c>
      <c r="B322">
        <v>270271000</v>
      </c>
      <c r="C322">
        <v>2</v>
      </c>
    </row>
    <row r="323" spans="1:3" ht="13" x14ac:dyDescent="0.15">
      <c r="A323">
        <v>15</v>
      </c>
      <c r="B323">
        <v>270286000</v>
      </c>
      <c r="C323">
        <v>9</v>
      </c>
    </row>
    <row r="324" spans="1:3" ht="13" x14ac:dyDescent="0.15">
      <c r="A324">
        <v>15</v>
      </c>
      <c r="B324">
        <v>270287000</v>
      </c>
      <c r="C324">
        <v>2</v>
      </c>
    </row>
    <row r="325" spans="1:3" ht="13" x14ac:dyDescent="0.15">
      <c r="A325">
        <v>15</v>
      </c>
      <c r="B325">
        <v>270303000</v>
      </c>
      <c r="C325">
        <v>2</v>
      </c>
    </row>
    <row r="326" spans="1:3" ht="13" x14ac:dyDescent="0.15">
      <c r="A326">
        <v>15</v>
      </c>
      <c r="B326">
        <v>270304000</v>
      </c>
      <c r="C326">
        <v>4</v>
      </c>
    </row>
    <row r="327" spans="1:3" ht="13" x14ac:dyDescent="0.15">
      <c r="A327">
        <v>15</v>
      </c>
      <c r="B327">
        <v>270328000</v>
      </c>
      <c r="C327">
        <v>7</v>
      </c>
    </row>
    <row r="328" spans="1:3" ht="13" x14ac:dyDescent="0.15">
      <c r="A328">
        <v>15</v>
      </c>
      <c r="B328">
        <v>270330000</v>
      </c>
      <c r="C328">
        <v>1</v>
      </c>
    </row>
    <row r="329" spans="1:3" ht="13" x14ac:dyDescent="0.15">
      <c r="A329">
        <v>15</v>
      </c>
      <c r="B329">
        <v>270405000</v>
      </c>
      <c r="C329">
        <v>1</v>
      </c>
    </row>
    <row r="330" spans="1:3" ht="13" x14ac:dyDescent="0.15">
      <c r="A330">
        <v>15</v>
      </c>
      <c r="B330">
        <v>270408000</v>
      </c>
      <c r="C330">
        <v>2</v>
      </c>
    </row>
    <row r="331" spans="1:3" ht="13" x14ac:dyDescent="0.15">
      <c r="A331">
        <v>15</v>
      </c>
      <c r="B331">
        <v>270411000</v>
      </c>
      <c r="C331">
        <v>2</v>
      </c>
    </row>
    <row r="332" spans="1:3" ht="13" x14ac:dyDescent="0.15">
      <c r="A332">
        <v>15</v>
      </c>
      <c r="B332">
        <v>270413000</v>
      </c>
      <c r="C332">
        <v>1</v>
      </c>
    </row>
    <row r="333" spans="1:3" ht="13" x14ac:dyDescent="0.15">
      <c r="A333">
        <v>15</v>
      </c>
      <c r="B333">
        <v>270710000</v>
      </c>
      <c r="C333">
        <v>6</v>
      </c>
    </row>
    <row r="334" spans="1:3" ht="13" x14ac:dyDescent="0.15">
      <c r="A334">
        <v>15</v>
      </c>
      <c r="B334">
        <v>270716000</v>
      </c>
      <c r="C334">
        <v>2</v>
      </c>
    </row>
    <row r="335" spans="1:3" ht="13" x14ac:dyDescent="0.15">
      <c r="A335">
        <v>15</v>
      </c>
      <c r="B335">
        <v>270717000</v>
      </c>
      <c r="C335">
        <v>4</v>
      </c>
    </row>
    <row r="336" spans="1:3" ht="13" x14ac:dyDescent="0.15">
      <c r="A336">
        <v>15</v>
      </c>
      <c r="B336">
        <v>270801000</v>
      </c>
      <c r="C336">
        <v>1</v>
      </c>
    </row>
    <row r="337" spans="1:3" ht="13" x14ac:dyDescent="0.15">
      <c r="A337">
        <v>15</v>
      </c>
      <c r="B337">
        <v>270803000</v>
      </c>
      <c r="C337">
        <v>2</v>
      </c>
    </row>
    <row r="338" spans="1:3" ht="13" x14ac:dyDescent="0.15">
      <c r="A338">
        <v>15</v>
      </c>
      <c r="B338">
        <v>270806000</v>
      </c>
      <c r="C338">
        <v>2</v>
      </c>
    </row>
    <row r="339" spans="1:3" ht="13" x14ac:dyDescent="0.15">
      <c r="A339">
        <v>15</v>
      </c>
      <c r="B339">
        <v>270810000</v>
      </c>
      <c r="C339">
        <v>1</v>
      </c>
    </row>
    <row r="340" spans="1:3" ht="13" x14ac:dyDescent="0.15">
      <c r="A340">
        <v>15</v>
      </c>
      <c r="B340">
        <v>270903000</v>
      </c>
      <c r="C340">
        <v>2</v>
      </c>
    </row>
    <row r="341" spans="1:3" ht="13" x14ac:dyDescent="0.15">
      <c r="A341">
        <v>15</v>
      </c>
      <c r="B341">
        <v>270906000</v>
      </c>
      <c r="C341">
        <v>1</v>
      </c>
    </row>
    <row r="342" spans="1:3" ht="13" x14ac:dyDescent="0.15">
      <c r="A342">
        <v>15</v>
      </c>
      <c r="B342">
        <v>270910000</v>
      </c>
      <c r="C342">
        <v>2</v>
      </c>
    </row>
    <row r="343" spans="1:3" ht="13" x14ac:dyDescent="0.15">
      <c r="A343">
        <v>15</v>
      </c>
      <c r="B343">
        <v>270914000</v>
      </c>
      <c r="C343">
        <v>2</v>
      </c>
    </row>
    <row r="344" spans="1:3" ht="13" x14ac:dyDescent="0.15">
      <c r="A344">
        <v>15</v>
      </c>
      <c r="B344">
        <v>270926000</v>
      </c>
      <c r="C344">
        <v>2</v>
      </c>
    </row>
    <row r="345" spans="1:3" ht="13" x14ac:dyDescent="0.15">
      <c r="A345">
        <v>15</v>
      </c>
      <c r="B345">
        <v>271001000</v>
      </c>
      <c r="C345">
        <v>1</v>
      </c>
    </row>
    <row r="346" spans="1:3" ht="13" x14ac:dyDescent="0.15">
      <c r="A346">
        <v>15</v>
      </c>
      <c r="B346">
        <v>271002000</v>
      </c>
      <c r="C346">
        <v>2</v>
      </c>
    </row>
    <row r="347" spans="1:3" ht="13" x14ac:dyDescent="0.15">
      <c r="A347">
        <v>15</v>
      </c>
      <c r="B347">
        <v>271005000</v>
      </c>
      <c r="C347">
        <v>2</v>
      </c>
    </row>
    <row r="348" spans="1:3" ht="13" x14ac:dyDescent="0.15">
      <c r="A348">
        <v>15</v>
      </c>
      <c r="B348">
        <v>271006000</v>
      </c>
      <c r="C348">
        <v>3</v>
      </c>
    </row>
    <row r="349" spans="1:3" ht="13" x14ac:dyDescent="0.15">
      <c r="A349">
        <v>15</v>
      </c>
      <c r="B349">
        <v>271010000</v>
      </c>
      <c r="C349">
        <v>1</v>
      </c>
    </row>
    <row r="350" spans="1:3" ht="13" x14ac:dyDescent="0.15">
      <c r="A350">
        <v>15</v>
      </c>
      <c r="B350">
        <v>271011000</v>
      </c>
      <c r="C350">
        <v>4</v>
      </c>
    </row>
    <row r="351" spans="1:3" ht="13" x14ac:dyDescent="0.15">
      <c r="A351">
        <v>15</v>
      </c>
      <c r="B351">
        <v>271013000</v>
      </c>
      <c r="C351">
        <v>1</v>
      </c>
    </row>
    <row r="352" spans="1:3" ht="13" x14ac:dyDescent="0.15">
      <c r="A352">
        <v>15</v>
      </c>
      <c r="B352">
        <v>271020000</v>
      </c>
      <c r="C352">
        <v>4</v>
      </c>
    </row>
    <row r="353" spans="1:3" ht="13" x14ac:dyDescent="0.15">
      <c r="A353">
        <v>15</v>
      </c>
      <c r="B353">
        <v>271025000</v>
      </c>
      <c r="C353">
        <v>2</v>
      </c>
    </row>
    <row r="354" spans="1:3" ht="13" x14ac:dyDescent="0.15">
      <c r="A354">
        <v>15</v>
      </c>
      <c r="B354">
        <v>271059000</v>
      </c>
      <c r="C354">
        <v>4</v>
      </c>
    </row>
    <row r="355" spans="1:3" ht="13" x14ac:dyDescent="0.15">
      <c r="A355">
        <v>15</v>
      </c>
      <c r="B355">
        <v>271074000</v>
      </c>
      <c r="C355">
        <v>4</v>
      </c>
    </row>
    <row r="356" spans="1:3" ht="13" x14ac:dyDescent="0.15">
      <c r="A356">
        <v>15</v>
      </c>
      <c r="B356">
        <v>271204000</v>
      </c>
      <c r="C356">
        <v>1</v>
      </c>
    </row>
    <row r="357" spans="1:3" ht="13" x14ac:dyDescent="0.15">
      <c r="A357">
        <v>15</v>
      </c>
      <c r="B357">
        <v>271206000</v>
      </c>
      <c r="C357">
        <v>4</v>
      </c>
    </row>
    <row r="358" spans="1:3" ht="13" x14ac:dyDescent="0.15">
      <c r="A358">
        <v>15</v>
      </c>
      <c r="B358">
        <v>271207000</v>
      </c>
      <c r="C358">
        <v>1</v>
      </c>
    </row>
    <row r="359" spans="1:3" ht="13" x14ac:dyDescent="0.15">
      <c r="A359">
        <v>15</v>
      </c>
      <c r="B359">
        <v>271208000</v>
      </c>
      <c r="C359">
        <v>1</v>
      </c>
    </row>
    <row r="360" spans="1:3" ht="13" x14ac:dyDescent="0.15">
      <c r="A360">
        <v>15</v>
      </c>
      <c r="B360">
        <v>271212000</v>
      </c>
      <c r="C360">
        <v>3</v>
      </c>
    </row>
    <row r="361" spans="1:3" ht="13" x14ac:dyDescent="0.15">
      <c r="A361">
        <v>15</v>
      </c>
      <c r="B361">
        <v>271213000</v>
      </c>
      <c r="C361">
        <v>2</v>
      </c>
    </row>
    <row r="362" spans="1:3" ht="13" x14ac:dyDescent="0.15">
      <c r="A362">
        <v>15</v>
      </c>
      <c r="B362">
        <v>271215000</v>
      </c>
      <c r="C362">
        <v>4</v>
      </c>
    </row>
    <row r="363" spans="1:3" ht="13" x14ac:dyDescent="0.15">
      <c r="A363">
        <v>15</v>
      </c>
      <c r="B363">
        <v>271216000</v>
      </c>
      <c r="C363">
        <v>5</v>
      </c>
    </row>
    <row r="364" spans="1:3" ht="13" x14ac:dyDescent="0.15">
      <c r="A364">
        <v>15</v>
      </c>
      <c r="B364">
        <v>271221000</v>
      </c>
      <c r="C364">
        <v>9</v>
      </c>
    </row>
    <row r="365" spans="1:3" ht="13" x14ac:dyDescent="0.15">
      <c r="A365">
        <v>15</v>
      </c>
      <c r="B365">
        <v>271226000</v>
      </c>
      <c r="C365">
        <v>1</v>
      </c>
    </row>
    <row r="366" spans="1:3" ht="13" x14ac:dyDescent="0.15">
      <c r="A366">
        <v>15</v>
      </c>
      <c r="B366">
        <v>271245000</v>
      </c>
      <c r="C366">
        <v>1</v>
      </c>
    </row>
    <row r="367" spans="1:3" ht="13" x14ac:dyDescent="0.15">
      <c r="A367">
        <v>15</v>
      </c>
      <c r="B367">
        <v>271251000</v>
      </c>
      <c r="C367">
        <v>7</v>
      </c>
    </row>
    <row r="368" spans="1:3" ht="13" x14ac:dyDescent="0.15">
      <c r="A368">
        <v>15</v>
      </c>
      <c r="B368">
        <v>271257000</v>
      </c>
      <c r="C368">
        <v>7</v>
      </c>
    </row>
    <row r="369" spans="1:4" ht="13" x14ac:dyDescent="0.15">
      <c r="A369">
        <v>15</v>
      </c>
      <c r="B369">
        <v>271259000</v>
      </c>
      <c r="C369">
        <v>2</v>
      </c>
    </row>
    <row r="370" spans="1:4" ht="13" x14ac:dyDescent="0.15">
      <c r="A370">
        <v>15</v>
      </c>
      <c r="B370">
        <v>271260000</v>
      </c>
      <c r="C370">
        <v>1</v>
      </c>
    </row>
    <row r="371" spans="1:4" ht="13" x14ac:dyDescent="0.15">
      <c r="A371">
        <v>15</v>
      </c>
      <c r="B371">
        <v>271301000</v>
      </c>
      <c r="C371">
        <v>2</v>
      </c>
    </row>
    <row r="372" spans="1:4" ht="13" x14ac:dyDescent="0.15">
      <c r="A372">
        <v>15</v>
      </c>
      <c r="B372">
        <v>271302000</v>
      </c>
      <c r="C372">
        <v>1</v>
      </c>
    </row>
    <row r="373" spans="1:4" ht="13" x14ac:dyDescent="0.15">
      <c r="A373">
        <v>15</v>
      </c>
      <c r="B373">
        <v>271306000</v>
      </c>
      <c r="C373">
        <v>4</v>
      </c>
    </row>
    <row r="374" spans="1:4" ht="13" x14ac:dyDescent="0.15">
      <c r="A374">
        <v>15</v>
      </c>
      <c r="B374">
        <v>271453000</v>
      </c>
      <c r="C374">
        <v>1</v>
      </c>
    </row>
    <row r="375" spans="1:4" ht="13" x14ac:dyDescent="0.15">
      <c r="A375">
        <v>15</v>
      </c>
      <c r="B375">
        <v>271454000</v>
      </c>
      <c r="C375">
        <v>1</v>
      </c>
    </row>
    <row r="376" spans="1:4" ht="13" x14ac:dyDescent="0.15">
      <c r="A376">
        <v>15</v>
      </c>
      <c r="B376">
        <v>271503000</v>
      </c>
      <c r="C376">
        <v>2</v>
      </c>
    </row>
    <row r="377" spans="1:4" ht="13" x14ac:dyDescent="0.15">
      <c r="A377">
        <v>15</v>
      </c>
      <c r="B377">
        <v>271512000</v>
      </c>
      <c r="C377">
        <v>8</v>
      </c>
    </row>
    <row r="378" spans="1:4" ht="13" x14ac:dyDescent="0.15">
      <c r="A378">
        <v>15</v>
      </c>
      <c r="B378">
        <v>271513000</v>
      </c>
      <c r="C378">
        <v>2</v>
      </c>
    </row>
    <row r="379" spans="1:4" ht="13" x14ac:dyDescent="0.15">
      <c r="A379">
        <v>15</v>
      </c>
      <c r="B379">
        <v>271606000</v>
      </c>
      <c r="C379">
        <v>4</v>
      </c>
      <c r="D379" s="2"/>
    </row>
    <row r="380" spans="1:4" ht="13" x14ac:dyDescent="0.15">
      <c r="A380">
        <v>15</v>
      </c>
      <c r="B380">
        <v>271711000</v>
      </c>
      <c r="C380">
        <v>1</v>
      </c>
      <c r="D380" s="2"/>
    </row>
    <row r="381" spans="1:4" ht="13" x14ac:dyDescent="0.15">
      <c r="A381">
        <v>15</v>
      </c>
      <c r="B381">
        <v>277143000</v>
      </c>
      <c r="C381">
        <v>2</v>
      </c>
      <c r="D381" s="2"/>
    </row>
    <row r="382" spans="1:4" ht="13" x14ac:dyDescent="0.15">
      <c r="A382">
        <v>17</v>
      </c>
      <c r="B382">
        <v>270140000</v>
      </c>
      <c r="C382">
        <v>3</v>
      </c>
      <c r="D382" s="2"/>
    </row>
    <row r="383" spans="1:4" ht="13" x14ac:dyDescent="0.15">
      <c r="A383">
        <v>17</v>
      </c>
      <c r="B383">
        <v>270204000</v>
      </c>
      <c r="C383">
        <v>1</v>
      </c>
      <c r="D383" s="2"/>
    </row>
    <row r="384" spans="1:4" ht="13" x14ac:dyDescent="0.15">
      <c r="A384">
        <v>17</v>
      </c>
      <c r="B384">
        <v>270217000</v>
      </c>
      <c r="C384">
        <v>1</v>
      </c>
      <c r="D384" s="2"/>
    </row>
    <row r="385" spans="1:6" ht="13" x14ac:dyDescent="0.15">
      <c r="A385">
        <v>17</v>
      </c>
      <c r="B385">
        <v>270304000</v>
      </c>
      <c r="C385">
        <v>1</v>
      </c>
      <c r="D385" s="2"/>
    </row>
    <row r="386" spans="1:6" ht="13" x14ac:dyDescent="0.15">
      <c r="A386">
        <v>17</v>
      </c>
      <c r="B386">
        <v>270316000</v>
      </c>
      <c r="C386">
        <v>1</v>
      </c>
      <c r="D386" s="2"/>
    </row>
    <row r="387" spans="1:6" ht="13" x14ac:dyDescent="0.15">
      <c r="A387">
        <v>17</v>
      </c>
      <c r="B387">
        <v>270328000</v>
      </c>
      <c r="C387">
        <v>3</v>
      </c>
      <c r="D387" s="2"/>
    </row>
    <row r="388" spans="1:6" ht="13" x14ac:dyDescent="0.15">
      <c r="A388">
        <v>17</v>
      </c>
      <c r="B388">
        <v>270330000</v>
      </c>
      <c r="C388">
        <v>1</v>
      </c>
      <c r="D388" s="2"/>
    </row>
    <row r="389" spans="1:6" ht="13" x14ac:dyDescent="0.15">
      <c r="A389">
        <v>17</v>
      </c>
      <c r="B389">
        <v>270403000</v>
      </c>
      <c r="C389">
        <v>1</v>
      </c>
      <c r="D389" s="2"/>
      <c r="F389" s="1"/>
    </row>
    <row r="390" spans="1:6" ht="13" x14ac:dyDescent="0.15">
      <c r="A390">
        <v>17</v>
      </c>
      <c r="B390">
        <v>270412000</v>
      </c>
      <c r="C390">
        <v>2</v>
      </c>
      <c r="D390" s="2"/>
    </row>
    <row r="391" spans="1:6" ht="13" x14ac:dyDescent="0.15">
      <c r="A391">
        <v>17</v>
      </c>
      <c r="B391">
        <v>270710000</v>
      </c>
      <c r="C391">
        <v>2</v>
      </c>
      <c r="D391" s="2"/>
    </row>
    <row r="392" spans="1:6" ht="13" x14ac:dyDescent="0.15">
      <c r="A392">
        <v>17</v>
      </c>
      <c r="B392">
        <v>270803000</v>
      </c>
      <c r="C392">
        <v>1</v>
      </c>
      <c r="D392" s="2"/>
    </row>
    <row r="393" spans="1:6" ht="13" x14ac:dyDescent="0.15">
      <c r="A393">
        <v>17</v>
      </c>
      <c r="B393">
        <v>270805000</v>
      </c>
      <c r="C393">
        <v>2</v>
      </c>
      <c r="D393" s="2"/>
    </row>
    <row r="394" spans="1:6" ht="13" x14ac:dyDescent="0.15">
      <c r="A394">
        <v>17</v>
      </c>
      <c r="B394">
        <v>270810000</v>
      </c>
      <c r="C394">
        <v>2</v>
      </c>
      <c r="D394" s="2"/>
    </row>
    <row r="395" spans="1:6" ht="13" x14ac:dyDescent="0.15">
      <c r="A395">
        <v>17</v>
      </c>
      <c r="B395">
        <v>270906000</v>
      </c>
      <c r="C395">
        <v>1</v>
      </c>
      <c r="D395" s="2"/>
    </row>
    <row r="396" spans="1:6" ht="13" x14ac:dyDescent="0.15">
      <c r="A396">
        <v>17</v>
      </c>
      <c r="B396">
        <v>270926000</v>
      </c>
      <c r="C396">
        <v>2</v>
      </c>
      <c r="D396" s="2"/>
    </row>
    <row r="397" spans="1:6" ht="13" x14ac:dyDescent="0.15">
      <c r="A397">
        <v>17</v>
      </c>
      <c r="B397">
        <v>271002000</v>
      </c>
      <c r="C397">
        <v>1</v>
      </c>
      <c r="D397" s="2"/>
    </row>
    <row r="398" spans="1:6" ht="13" x14ac:dyDescent="0.15">
      <c r="A398">
        <v>17</v>
      </c>
      <c r="B398">
        <v>271005000</v>
      </c>
      <c r="C398">
        <v>1</v>
      </c>
      <c r="D398" s="2"/>
    </row>
    <row r="399" spans="1:6" ht="13" x14ac:dyDescent="0.15">
      <c r="A399">
        <v>17</v>
      </c>
      <c r="B399">
        <v>271006000</v>
      </c>
      <c r="C399">
        <v>1</v>
      </c>
      <c r="D399" s="2"/>
    </row>
    <row r="400" spans="1:6" ht="13" x14ac:dyDescent="0.15">
      <c r="A400">
        <v>17</v>
      </c>
      <c r="B400">
        <v>271008000</v>
      </c>
      <c r="C400">
        <v>1</v>
      </c>
      <c r="D400" s="2"/>
    </row>
    <row r="401" spans="1:4" ht="13" x14ac:dyDescent="0.15">
      <c r="A401">
        <v>17</v>
      </c>
      <c r="B401">
        <v>271010000</v>
      </c>
      <c r="C401">
        <v>1</v>
      </c>
      <c r="D401" s="2"/>
    </row>
    <row r="402" spans="1:4" ht="13" x14ac:dyDescent="0.15">
      <c r="A402">
        <v>17</v>
      </c>
      <c r="B402">
        <v>271011000</v>
      </c>
      <c r="C402">
        <v>2</v>
      </c>
      <c r="D402" s="2"/>
    </row>
    <row r="403" spans="1:4" ht="13" x14ac:dyDescent="0.15">
      <c r="A403">
        <v>17</v>
      </c>
      <c r="B403">
        <v>271020000</v>
      </c>
      <c r="C403">
        <v>5</v>
      </c>
      <c r="D403" s="2"/>
    </row>
    <row r="404" spans="1:4" ht="13" x14ac:dyDescent="0.15">
      <c r="A404">
        <v>17</v>
      </c>
      <c r="B404">
        <v>271021000</v>
      </c>
      <c r="C404">
        <v>2</v>
      </c>
      <c r="D404" s="2"/>
    </row>
    <row r="405" spans="1:4" ht="13" x14ac:dyDescent="0.15">
      <c r="A405">
        <v>17</v>
      </c>
      <c r="B405">
        <v>271059000</v>
      </c>
      <c r="C405">
        <v>4</v>
      </c>
      <c r="D405" s="2"/>
    </row>
    <row r="406" spans="1:4" ht="13" x14ac:dyDescent="0.15">
      <c r="A406">
        <v>17</v>
      </c>
      <c r="B406">
        <v>271074000</v>
      </c>
      <c r="C406">
        <v>2</v>
      </c>
    </row>
    <row r="407" spans="1:4" ht="13" x14ac:dyDescent="0.15">
      <c r="A407">
        <v>17</v>
      </c>
      <c r="B407">
        <v>271207000</v>
      </c>
      <c r="C407">
        <v>6</v>
      </c>
    </row>
    <row r="408" spans="1:4" ht="13" x14ac:dyDescent="0.15">
      <c r="A408">
        <v>17</v>
      </c>
      <c r="B408">
        <v>271214000</v>
      </c>
      <c r="C408">
        <v>3</v>
      </c>
    </row>
    <row r="409" spans="1:4" ht="13" x14ac:dyDescent="0.15">
      <c r="A409">
        <v>17</v>
      </c>
      <c r="B409">
        <v>271215000</v>
      </c>
      <c r="C409">
        <v>2</v>
      </c>
    </row>
    <row r="410" spans="1:4" ht="13" x14ac:dyDescent="0.15">
      <c r="A410">
        <v>17</v>
      </c>
      <c r="B410">
        <v>271221000</v>
      </c>
      <c r="C410">
        <v>1</v>
      </c>
    </row>
    <row r="411" spans="1:4" ht="13" x14ac:dyDescent="0.15">
      <c r="A411">
        <v>17</v>
      </c>
      <c r="B411">
        <v>271259000</v>
      </c>
      <c r="C411">
        <v>1</v>
      </c>
    </row>
    <row r="412" spans="1:4" ht="13" x14ac:dyDescent="0.15">
      <c r="A412">
        <v>17</v>
      </c>
      <c r="B412">
        <v>271454000</v>
      </c>
      <c r="C412">
        <v>1</v>
      </c>
    </row>
    <row r="413" spans="1:4" ht="13" x14ac:dyDescent="0.15">
      <c r="A413">
        <v>17</v>
      </c>
      <c r="B413">
        <v>271455000</v>
      </c>
      <c r="C413">
        <v>4</v>
      </c>
    </row>
    <row r="414" spans="1:4" ht="13" x14ac:dyDescent="0.15">
      <c r="A414">
        <v>17</v>
      </c>
      <c r="B414">
        <v>271503000</v>
      </c>
      <c r="C414">
        <v>1</v>
      </c>
    </row>
    <row r="415" spans="1:4" ht="13" x14ac:dyDescent="0.15">
      <c r="A415">
        <v>17</v>
      </c>
      <c r="B415">
        <v>271512000</v>
      </c>
      <c r="C415">
        <v>7</v>
      </c>
    </row>
    <row r="416" spans="1:4" ht="13" x14ac:dyDescent="0.15">
      <c r="A416">
        <v>17</v>
      </c>
      <c r="B416">
        <v>271514000</v>
      </c>
      <c r="C416">
        <v>3</v>
      </c>
    </row>
    <row r="417" spans="1:3" ht="13" x14ac:dyDescent="0.15">
      <c r="A417">
        <v>17</v>
      </c>
      <c r="B417">
        <v>271612000</v>
      </c>
      <c r="C417">
        <v>5</v>
      </c>
    </row>
    <row r="418" spans="1:3" ht="13" x14ac:dyDescent="0.15">
      <c r="A418">
        <v>19</v>
      </c>
      <c r="B418">
        <v>270122000</v>
      </c>
      <c r="C418">
        <v>1</v>
      </c>
    </row>
    <row r="419" spans="1:3" ht="13" x14ac:dyDescent="0.15">
      <c r="A419">
        <v>19</v>
      </c>
      <c r="B419">
        <v>270140000</v>
      </c>
      <c r="C419">
        <v>4</v>
      </c>
    </row>
    <row r="420" spans="1:3" ht="13" x14ac:dyDescent="0.15">
      <c r="A420">
        <v>19</v>
      </c>
      <c r="B420">
        <v>270204000</v>
      </c>
      <c r="C420">
        <v>1</v>
      </c>
    </row>
    <row r="421" spans="1:3" ht="13" x14ac:dyDescent="0.15">
      <c r="A421">
        <v>19</v>
      </c>
      <c r="B421">
        <v>270217000</v>
      </c>
      <c r="C421">
        <v>1</v>
      </c>
    </row>
    <row r="422" spans="1:3" ht="13" x14ac:dyDescent="0.15">
      <c r="A422">
        <v>19</v>
      </c>
      <c r="B422">
        <v>270303000</v>
      </c>
      <c r="C422">
        <v>1</v>
      </c>
    </row>
    <row r="423" spans="1:3" ht="13" x14ac:dyDescent="0.15">
      <c r="A423">
        <v>19</v>
      </c>
      <c r="B423">
        <v>270304000</v>
      </c>
      <c r="C423">
        <v>2</v>
      </c>
    </row>
    <row r="424" spans="1:3" ht="13" x14ac:dyDescent="0.15">
      <c r="A424">
        <v>19</v>
      </c>
      <c r="B424">
        <v>270310000</v>
      </c>
      <c r="C424">
        <v>2</v>
      </c>
    </row>
    <row r="425" spans="1:3" ht="13" x14ac:dyDescent="0.15">
      <c r="A425">
        <v>19</v>
      </c>
      <c r="B425">
        <v>270316000</v>
      </c>
      <c r="C425">
        <v>2</v>
      </c>
    </row>
    <row r="426" spans="1:3" ht="13" x14ac:dyDescent="0.15">
      <c r="A426">
        <v>19</v>
      </c>
      <c r="B426">
        <v>270328000</v>
      </c>
      <c r="C426">
        <v>2</v>
      </c>
    </row>
    <row r="427" spans="1:3" ht="13" x14ac:dyDescent="0.15">
      <c r="A427">
        <v>19</v>
      </c>
      <c r="B427">
        <v>270330000</v>
      </c>
      <c r="C427">
        <v>1</v>
      </c>
    </row>
    <row r="428" spans="1:3" ht="13" x14ac:dyDescent="0.15">
      <c r="A428">
        <v>19</v>
      </c>
      <c r="B428">
        <v>270403000</v>
      </c>
      <c r="C428">
        <v>3</v>
      </c>
    </row>
    <row r="429" spans="1:3" ht="13" x14ac:dyDescent="0.15">
      <c r="A429">
        <v>19</v>
      </c>
      <c r="B429">
        <v>270408000</v>
      </c>
      <c r="C429">
        <v>3</v>
      </c>
    </row>
    <row r="430" spans="1:3" ht="13" x14ac:dyDescent="0.15">
      <c r="A430">
        <v>19</v>
      </c>
      <c r="B430">
        <v>270412000</v>
      </c>
      <c r="C430">
        <v>4</v>
      </c>
    </row>
    <row r="431" spans="1:3" ht="13" x14ac:dyDescent="0.15">
      <c r="A431">
        <v>19</v>
      </c>
      <c r="B431">
        <v>270413000</v>
      </c>
      <c r="C431">
        <v>1</v>
      </c>
    </row>
    <row r="432" spans="1:3" ht="13" x14ac:dyDescent="0.15">
      <c r="A432">
        <v>19</v>
      </c>
      <c r="B432">
        <v>270710000</v>
      </c>
      <c r="C432">
        <v>3</v>
      </c>
    </row>
    <row r="433" spans="1:3" ht="13" x14ac:dyDescent="0.15">
      <c r="A433">
        <v>19</v>
      </c>
      <c r="B433">
        <v>270801000</v>
      </c>
      <c r="C433">
        <v>1</v>
      </c>
    </row>
    <row r="434" spans="1:3" ht="13" x14ac:dyDescent="0.15">
      <c r="A434">
        <v>19</v>
      </c>
      <c r="B434">
        <v>270805000</v>
      </c>
      <c r="C434">
        <v>1</v>
      </c>
    </row>
    <row r="435" spans="1:3" ht="13" x14ac:dyDescent="0.15">
      <c r="A435">
        <v>19</v>
      </c>
      <c r="B435">
        <v>270806000</v>
      </c>
      <c r="C435">
        <v>1</v>
      </c>
    </row>
    <row r="436" spans="1:3" ht="13" x14ac:dyDescent="0.15">
      <c r="A436">
        <v>19</v>
      </c>
      <c r="B436">
        <v>270810000</v>
      </c>
      <c r="C436">
        <v>3</v>
      </c>
    </row>
    <row r="437" spans="1:3" ht="13" x14ac:dyDescent="0.15">
      <c r="A437">
        <v>19</v>
      </c>
      <c r="B437">
        <v>270903000</v>
      </c>
      <c r="C437">
        <v>1</v>
      </c>
    </row>
    <row r="438" spans="1:3" ht="13" x14ac:dyDescent="0.15">
      <c r="A438">
        <v>19</v>
      </c>
      <c r="B438">
        <v>270904000</v>
      </c>
      <c r="C438">
        <v>1</v>
      </c>
    </row>
    <row r="439" spans="1:3" ht="13" x14ac:dyDescent="0.15">
      <c r="A439">
        <v>19</v>
      </c>
      <c r="B439">
        <v>270905000</v>
      </c>
      <c r="C439">
        <v>2</v>
      </c>
    </row>
    <row r="440" spans="1:3" ht="13" x14ac:dyDescent="0.15">
      <c r="A440">
        <v>19</v>
      </c>
      <c r="B440">
        <v>270906000</v>
      </c>
      <c r="C440">
        <v>1</v>
      </c>
    </row>
    <row r="441" spans="1:3" ht="13" x14ac:dyDescent="0.15">
      <c r="A441">
        <v>19</v>
      </c>
      <c r="B441">
        <v>270910000</v>
      </c>
      <c r="C441">
        <v>2</v>
      </c>
    </row>
    <row r="442" spans="1:3" ht="13" x14ac:dyDescent="0.15">
      <c r="A442">
        <v>19</v>
      </c>
      <c r="B442">
        <v>270926000</v>
      </c>
      <c r="C442">
        <v>5</v>
      </c>
    </row>
    <row r="443" spans="1:3" ht="13" x14ac:dyDescent="0.15">
      <c r="A443">
        <v>19</v>
      </c>
      <c r="B443">
        <v>271005000</v>
      </c>
      <c r="C443">
        <v>1</v>
      </c>
    </row>
    <row r="444" spans="1:3" ht="13" x14ac:dyDescent="0.15">
      <c r="A444">
        <v>19</v>
      </c>
      <c r="B444">
        <v>271006000</v>
      </c>
      <c r="C444">
        <v>2</v>
      </c>
    </row>
    <row r="445" spans="1:3" ht="13" x14ac:dyDescent="0.15">
      <c r="A445">
        <v>19</v>
      </c>
      <c r="B445">
        <v>271010000</v>
      </c>
      <c r="C445">
        <v>1</v>
      </c>
    </row>
    <row r="446" spans="1:3" ht="13" x14ac:dyDescent="0.15">
      <c r="A446">
        <v>19</v>
      </c>
      <c r="B446">
        <v>271011000</v>
      </c>
      <c r="C446">
        <v>3</v>
      </c>
    </row>
    <row r="447" spans="1:3" ht="13" x14ac:dyDescent="0.15">
      <c r="A447">
        <v>19</v>
      </c>
      <c r="B447">
        <v>271020000</v>
      </c>
      <c r="C447">
        <v>4</v>
      </c>
    </row>
    <row r="448" spans="1:3" ht="13" x14ac:dyDescent="0.15">
      <c r="A448">
        <v>19</v>
      </c>
      <c r="B448">
        <v>271059000</v>
      </c>
      <c r="C448">
        <v>5</v>
      </c>
    </row>
    <row r="449" spans="1:3" ht="13" x14ac:dyDescent="0.15">
      <c r="A449">
        <v>19</v>
      </c>
      <c r="B449">
        <v>271074000</v>
      </c>
      <c r="C449">
        <v>3</v>
      </c>
    </row>
    <row r="450" spans="1:3" ht="13" x14ac:dyDescent="0.15">
      <c r="A450">
        <v>19</v>
      </c>
      <c r="B450">
        <v>271206000</v>
      </c>
      <c r="C450">
        <v>7</v>
      </c>
    </row>
    <row r="451" spans="1:3" ht="13" x14ac:dyDescent="0.15">
      <c r="A451">
        <v>19</v>
      </c>
      <c r="B451">
        <v>271207000</v>
      </c>
      <c r="C451">
        <v>7</v>
      </c>
    </row>
    <row r="452" spans="1:3" ht="13" x14ac:dyDescent="0.15">
      <c r="A452">
        <v>19</v>
      </c>
      <c r="B452">
        <v>271212000</v>
      </c>
      <c r="C452">
        <v>2</v>
      </c>
    </row>
    <row r="453" spans="1:3" ht="13" x14ac:dyDescent="0.15">
      <c r="A453">
        <v>19</v>
      </c>
      <c r="B453">
        <v>271213000</v>
      </c>
      <c r="C453">
        <v>1</v>
      </c>
    </row>
    <row r="454" spans="1:3" ht="13" x14ac:dyDescent="0.15">
      <c r="A454">
        <v>19</v>
      </c>
      <c r="B454">
        <v>271214000</v>
      </c>
      <c r="C454">
        <v>6</v>
      </c>
    </row>
    <row r="455" spans="1:3" ht="13" x14ac:dyDescent="0.15">
      <c r="A455">
        <v>19</v>
      </c>
      <c r="B455">
        <v>271215000</v>
      </c>
      <c r="C455">
        <v>2</v>
      </c>
    </row>
    <row r="456" spans="1:3" ht="13" x14ac:dyDescent="0.15">
      <c r="A456">
        <v>19</v>
      </c>
      <c r="B456">
        <v>271221000</v>
      </c>
      <c r="C456">
        <v>1</v>
      </c>
    </row>
    <row r="457" spans="1:3" ht="13" x14ac:dyDescent="0.15">
      <c r="A457">
        <v>19</v>
      </c>
      <c r="B457">
        <v>271236000</v>
      </c>
      <c r="C457">
        <v>5</v>
      </c>
    </row>
    <row r="458" spans="1:3" ht="13" x14ac:dyDescent="0.15">
      <c r="A458">
        <v>19</v>
      </c>
      <c r="B458">
        <v>271259000</v>
      </c>
      <c r="C458">
        <v>1</v>
      </c>
    </row>
    <row r="459" spans="1:3" ht="13" x14ac:dyDescent="0.15">
      <c r="A459">
        <v>19</v>
      </c>
      <c r="B459">
        <v>271260000</v>
      </c>
      <c r="C459">
        <v>1</v>
      </c>
    </row>
    <row r="460" spans="1:3" ht="13" x14ac:dyDescent="0.15">
      <c r="A460">
        <v>19</v>
      </c>
      <c r="B460">
        <v>271302000</v>
      </c>
      <c r="C460">
        <v>1</v>
      </c>
    </row>
    <row r="461" spans="1:3" ht="13" x14ac:dyDescent="0.15">
      <c r="A461">
        <v>19</v>
      </c>
      <c r="B461">
        <v>271306000</v>
      </c>
      <c r="C461">
        <v>2</v>
      </c>
    </row>
    <row r="462" spans="1:3" ht="13" x14ac:dyDescent="0.15">
      <c r="A462">
        <v>20</v>
      </c>
      <c r="B462">
        <v>270140000</v>
      </c>
      <c r="C462">
        <v>2</v>
      </c>
    </row>
    <row r="463" spans="1:3" ht="13" x14ac:dyDescent="0.15">
      <c r="A463">
        <v>20</v>
      </c>
      <c r="B463">
        <v>270316000</v>
      </c>
      <c r="C463">
        <v>1</v>
      </c>
    </row>
    <row r="464" spans="1:3" ht="13" x14ac:dyDescent="0.15">
      <c r="A464">
        <v>20</v>
      </c>
      <c r="B464">
        <v>270328000</v>
      </c>
      <c r="C464">
        <v>2</v>
      </c>
    </row>
    <row r="465" spans="1:3" ht="13" x14ac:dyDescent="0.15">
      <c r="A465">
        <v>20</v>
      </c>
      <c r="B465">
        <v>270412000</v>
      </c>
      <c r="C465">
        <v>1</v>
      </c>
    </row>
    <row r="466" spans="1:3" ht="13" x14ac:dyDescent="0.15">
      <c r="A466">
        <v>20</v>
      </c>
      <c r="B466">
        <v>270710000</v>
      </c>
      <c r="C466">
        <v>2</v>
      </c>
    </row>
    <row r="467" spans="1:3" ht="13" x14ac:dyDescent="0.15">
      <c r="A467">
        <v>20</v>
      </c>
      <c r="B467">
        <v>270716000</v>
      </c>
      <c r="C467">
        <v>2</v>
      </c>
    </row>
    <row r="468" spans="1:3" ht="13" x14ac:dyDescent="0.15">
      <c r="A468">
        <v>20</v>
      </c>
      <c r="B468">
        <v>270801000</v>
      </c>
      <c r="C468">
        <v>1</v>
      </c>
    </row>
    <row r="469" spans="1:3" ht="13" x14ac:dyDescent="0.15">
      <c r="A469">
        <v>20</v>
      </c>
      <c r="B469">
        <v>270803000</v>
      </c>
      <c r="C469">
        <v>1</v>
      </c>
    </row>
    <row r="470" spans="1:3" ht="13" x14ac:dyDescent="0.15">
      <c r="A470">
        <v>20</v>
      </c>
      <c r="B470">
        <v>270806000</v>
      </c>
      <c r="C470">
        <v>1</v>
      </c>
    </row>
    <row r="471" spans="1:3" ht="13" x14ac:dyDescent="0.15">
      <c r="A471">
        <v>20</v>
      </c>
      <c r="B471">
        <v>270810000</v>
      </c>
      <c r="C471">
        <v>1</v>
      </c>
    </row>
    <row r="472" spans="1:3" ht="13" x14ac:dyDescent="0.15">
      <c r="A472">
        <v>20</v>
      </c>
      <c r="B472">
        <v>270910000</v>
      </c>
      <c r="C472">
        <v>1</v>
      </c>
    </row>
    <row r="473" spans="1:3" ht="13" x14ac:dyDescent="0.15">
      <c r="A473">
        <v>20</v>
      </c>
      <c r="B473">
        <v>270926000</v>
      </c>
      <c r="C473">
        <v>3</v>
      </c>
    </row>
    <row r="474" spans="1:3" ht="13" x14ac:dyDescent="0.15">
      <c r="A474">
        <v>20</v>
      </c>
      <c r="B474">
        <v>271002000</v>
      </c>
      <c r="C474">
        <v>1</v>
      </c>
    </row>
    <row r="475" spans="1:3" ht="13" x14ac:dyDescent="0.15">
      <c r="A475">
        <v>20</v>
      </c>
      <c r="B475">
        <v>271006000</v>
      </c>
      <c r="C475">
        <v>1</v>
      </c>
    </row>
    <row r="476" spans="1:3" ht="13" x14ac:dyDescent="0.15">
      <c r="A476">
        <v>20</v>
      </c>
      <c r="B476">
        <v>271010000</v>
      </c>
      <c r="C476">
        <v>1</v>
      </c>
    </row>
    <row r="477" spans="1:3" ht="13" x14ac:dyDescent="0.15">
      <c r="A477">
        <v>20</v>
      </c>
      <c r="B477">
        <v>271011000</v>
      </c>
      <c r="C477">
        <v>2</v>
      </c>
    </row>
    <row r="478" spans="1:3" ht="13" x14ac:dyDescent="0.15">
      <c r="A478">
        <v>20</v>
      </c>
      <c r="B478">
        <v>271020000</v>
      </c>
      <c r="C478">
        <v>1</v>
      </c>
    </row>
    <row r="479" spans="1:3" ht="13" x14ac:dyDescent="0.15">
      <c r="A479">
        <v>20</v>
      </c>
      <c r="B479">
        <v>271021000</v>
      </c>
      <c r="C479">
        <v>1</v>
      </c>
    </row>
    <row r="480" spans="1:3" ht="13" x14ac:dyDescent="0.15">
      <c r="A480">
        <v>20</v>
      </c>
      <c r="B480">
        <v>271059000</v>
      </c>
      <c r="C480">
        <v>2</v>
      </c>
    </row>
    <row r="481" spans="1:3" ht="13" x14ac:dyDescent="0.15">
      <c r="A481">
        <v>20</v>
      </c>
      <c r="B481">
        <v>271074000</v>
      </c>
      <c r="C481">
        <v>1</v>
      </c>
    </row>
    <row r="482" spans="1:3" ht="13" x14ac:dyDescent="0.15">
      <c r="A482">
        <v>20</v>
      </c>
      <c r="B482">
        <v>271206000</v>
      </c>
      <c r="C482">
        <v>5</v>
      </c>
    </row>
    <row r="483" spans="1:3" ht="13" x14ac:dyDescent="0.15">
      <c r="A483">
        <v>20</v>
      </c>
      <c r="B483">
        <v>271221000</v>
      </c>
      <c r="C483">
        <v>3</v>
      </c>
    </row>
    <row r="484" spans="1:3" ht="13" x14ac:dyDescent="0.15">
      <c r="A484">
        <v>20</v>
      </c>
      <c r="B484">
        <v>271612000</v>
      </c>
      <c r="C484">
        <v>1</v>
      </c>
    </row>
    <row r="485" spans="1:3" ht="13" x14ac:dyDescent="0.15">
      <c r="A485">
        <v>24</v>
      </c>
      <c r="B485">
        <v>270140000</v>
      </c>
      <c r="C485">
        <v>1</v>
      </c>
    </row>
    <row r="486" spans="1:3" ht="13" x14ac:dyDescent="0.15">
      <c r="A486">
        <v>24</v>
      </c>
      <c r="B486">
        <v>270217000</v>
      </c>
      <c r="C486">
        <v>1</v>
      </c>
    </row>
    <row r="487" spans="1:3" ht="13" x14ac:dyDescent="0.15">
      <c r="A487">
        <v>24</v>
      </c>
      <c r="B487">
        <v>270310000</v>
      </c>
      <c r="C487">
        <v>1</v>
      </c>
    </row>
    <row r="488" spans="1:3" ht="13" x14ac:dyDescent="0.15">
      <c r="A488">
        <v>24</v>
      </c>
      <c r="B488">
        <v>270328000</v>
      </c>
      <c r="C488">
        <v>1</v>
      </c>
    </row>
    <row r="489" spans="1:3" ht="13" x14ac:dyDescent="0.15">
      <c r="A489">
        <v>24</v>
      </c>
      <c r="B489">
        <v>270330000</v>
      </c>
      <c r="C489">
        <v>1</v>
      </c>
    </row>
    <row r="490" spans="1:3" ht="13" x14ac:dyDescent="0.15">
      <c r="A490">
        <v>24</v>
      </c>
      <c r="B490">
        <v>270412000</v>
      </c>
      <c r="C490">
        <v>1</v>
      </c>
    </row>
    <row r="491" spans="1:3" ht="13" x14ac:dyDescent="0.15">
      <c r="A491">
        <v>24</v>
      </c>
      <c r="B491">
        <v>270710000</v>
      </c>
      <c r="C491">
        <v>2</v>
      </c>
    </row>
    <row r="492" spans="1:3" ht="13" x14ac:dyDescent="0.15">
      <c r="A492">
        <v>24</v>
      </c>
      <c r="B492">
        <v>270926000</v>
      </c>
      <c r="C492">
        <v>1</v>
      </c>
    </row>
    <row r="493" spans="1:3" ht="13" x14ac:dyDescent="0.15">
      <c r="A493">
        <v>24</v>
      </c>
      <c r="B493">
        <v>271006000</v>
      </c>
      <c r="C493">
        <v>1</v>
      </c>
    </row>
    <row r="494" spans="1:3" ht="13" x14ac:dyDescent="0.15">
      <c r="A494">
        <v>24</v>
      </c>
      <c r="B494">
        <v>271011000</v>
      </c>
      <c r="C494">
        <v>1</v>
      </c>
    </row>
    <row r="495" spans="1:3" ht="13" x14ac:dyDescent="0.15">
      <c r="A495">
        <v>24</v>
      </c>
      <c r="B495">
        <v>271020000</v>
      </c>
      <c r="C495">
        <v>1</v>
      </c>
    </row>
    <row r="496" spans="1:3" ht="13" x14ac:dyDescent="0.15">
      <c r="A496">
        <v>24</v>
      </c>
      <c r="B496">
        <v>271021000</v>
      </c>
      <c r="C496">
        <v>1</v>
      </c>
    </row>
    <row r="497" spans="1:3" ht="13" x14ac:dyDescent="0.15">
      <c r="A497">
        <v>24</v>
      </c>
      <c r="B497">
        <v>271059000</v>
      </c>
      <c r="C497">
        <v>2</v>
      </c>
    </row>
    <row r="498" spans="1:3" ht="13" x14ac:dyDescent="0.15">
      <c r="A498">
        <v>24</v>
      </c>
      <c r="B498">
        <v>271074000</v>
      </c>
      <c r="C498">
        <v>1</v>
      </c>
    </row>
    <row r="499" spans="1:3" ht="13" x14ac:dyDescent="0.15">
      <c r="A499">
        <v>24</v>
      </c>
      <c r="B499">
        <v>271206000</v>
      </c>
      <c r="C499">
        <v>2</v>
      </c>
    </row>
    <row r="500" spans="1:3" ht="13" x14ac:dyDescent="0.15">
      <c r="A500">
        <v>24</v>
      </c>
      <c r="B500">
        <v>271207000</v>
      </c>
      <c r="C500">
        <v>2</v>
      </c>
    </row>
    <row r="501" spans="1:3" ht="13" x14ac:dyDescent="0.15">
      <c r="A501">
        <v>24</v>
      </c>
      <c r="B501">
        <v>271214000</v>
      </c>
      <c r="C501">
        <v>1</v>
      </c>
    </row>
    <row r="502" spans="1:3" ht="13" x14ac:dyDescent="0.15">
      <c r="A502">
        <v>24</v>
      </c>
      <c r="B502">
        <v>271215000</v>
      </c>
      <c r="C502">
        <v>1</v>
      </c>
    </row>
    <row r="503" spans="1:3" ht="13" x14ac:dyDescent="0.15">
      <c r="A503">
        <v>24</v>
      </c>
      <c r="B503">
        <v>271221000</v>
      </c>
      <c r="C503">
        <v>1</v>
      </c>
    </row>
    <row r="504" spans="1:3" ht="13" x14ac:dyDescent="0.15">
      <c r="A504">
        <v>24</v>
      </c>
      <c r="B504">
        <v>271259000</v>
      </c>
      <c r="C504">
        <v>1</v>
      </c>
    </row>
    <row r="505" spans="1:3" ht="13" x14ac:dyDescent="0.15">
      <c r="A505">
        <v>25</v>
      </c>
      <c r="B505">
        <v>270140000</v>
      </c>
      <c r="C505">
        <v>4</v>
      </c>
    </row>
    <row r="506" spans="1:3" ht="13" x14ac:dyDescent="0.15">
      <c r="A506">
        <v>25</v>
      </c>
      <c r="B506">
        <v>270163000</v>
      </c>
      <c r="C506">
        <v>1</v>
      </c>
    </row>
    <row r="507" spans="1:3" ht="13" x14ac:dyDescent="0.15">
      <c r="A507">
        <v>25</v>
      </c>
      <c r="B507">
        <v>270167000</v>
      </c>
      <c r="C507">
        <v>1</v>
      </c>
    </row>
    <row r="508" spans="1:3" ht="13" x14ac:dyDescent="0.15">
      <c r="A508">
        <v>25</v>
      </c>
      <c r="B508">
        <v>270168000</v>
      </c>
      <c r="C508">
        <v>2</v>
      </c>
    </row>
    <row r="509" spans="1:3" ht="13" x14ac:dyDescent="0.15">
      <c r="A509">
        <v>25</v>
      </c>
      <c r="B509">
        <v>270172000</v>
      </c>
      <c r="C509">
        <v>2</v>
      </c>
    </row>
    <row r="510" spans="1:3" ht="13" x14ac:dyDescent="0.15">
      <c r="A510">
        <v>25</v>
      </c>
      <c r="B510">
        <v>270180000</v>
      </c>
      <c r="C510">
        <v>2</v>
      </c>
    </row>
    <row r="511" spans="1:3" ht="13" x14ac:dyDescent="0.15">
      <c r="A511">
        <v>25</v>
      </c>
      <c r="B511">
        <v>270204000</v>
      </c>
      <c r="C511">
        <v>1</v>
      </c>
    </row>
    <row r="512" spans="1:3" ht="13" x14ac:dyDescent="0.15">
      <c r="A512">
        <v>25</v>
      </c>
      <c r="B512">
        <v>270217000</v>
      </c>
      <c r="C512">
        <v>2</v>
      </c>
    </row>
    <row r="513" spans="1:3" ht="13" x14ac:dyDescent="0.15">
      <c r="A513">
        <v>25</v>
      </c>
      <c r="B513">
        <v>270242000</v>
      </c>
      <c r="C513">
        <v>1</v>
      </c>
    </row>
    <row r="514" spans="1:3" ht="13" x14ac:dyDescent="0.15">
      <c r="A514">
        <v>25</v>
      </c>
      <c r="B514">
        <v>270271000</v>
      </c>
      <c r="C514">
        <v>3</v>
      </c>
    </row>
    <row r="515" spans="1:3" ht="13" x14ac:dyDescent="0.15">
      <c r="A515">
        <v>25</v>
      </c>
      <c r="B515">
        <v>270275000</v>
      </c>
      <c r="C515">
        <v>2</v>
      </c>
    </row>
    <row r="516" spans="1:3" ht="13" x14ac:dyDescent="0.15">
      <c r="A516">
        <v>25</v>
      </c>
      <c r="B516">
        <v>270277000</v>
      </c>
      <c r="C516">
        <v>2</v>
      </c>
    </row>
    <row r="517" spans="1:3" ht="13" x14ac:dyDescent="0.15">
      <c r="A517">
        <v>25</v>
      </c>
      <c r="B517">
        <v>270282000</v>
      </c>
      <c r="C517">
        <v>1</v>
      </c>
    </row>
    <row r="518" spans="1:3" ht="13" x14ac:dyDescent="0.15">
      <c r="A518">
        <v>25</v>
      </c>
      <c r="B518">
        <v>270285000</v>
      </c>
      <c r="C518">
        <v>2</v>
      </c>
    </row>
    <row r="519" spans="1:3" ht="13" x14ac:dyDescent="0.15">
      <c r="A519">
        <v>25</v>
      </c>
      <c r="B519">
        <v>270286000</v>
      </c>
      <c r="C519">
        <v>4</v>
      </c>
    </row>
    <row r="520" spans="1:3" ht="13" x14ac:dyDescent="0.15">
      <c r="A520">
        <v>25</v>
      </c>
      <c r="B520">
        <v>270303000</v>
      </c>
      <c r="C520">
        <v>3</v>
      </c>
    </row>
    <row r="521" spans="1:3" ht="13" x14ac:dyDescent="0.15">
      <c r="A521">
        <v>25</v>
      </c>
      <c r="B521">
        <v>270304000</v>
      </c>
      <c r="C521">
        <v>2</v>
      </c>
    </row>
    <row r="522" spans="1:3" ht="13" x14ac:dyDescent="0.15">
      <c r="A522">
        <v>25</v>
      </c>
      <c r="B522">
        <v>270316000</v>
      </c>
      <c r="C522">
        <v>10</v>
      </c>
    </row>
    <row r="523" spans="1:3" ht="13" x14ac:dyDescent="0.15">
      <c r="A523">
        <v>25</v>
      </c>
      <c r="B523">
        <v>270328000</v>
      </c>
      <c r="C523">
        <v>6</v>
      </c>
    </row>
    <row r="524" spans="1:3" ht="13" x14ac:dyDescent="0.15">
      <c r="A524">
        <v>25</v>
      </c>
      <c r="B524">
        <v>270330000</v>
      </c>
      <c r="C524">
        <v>1</v>
      </c>
    </row>
    <row r="525" spans="1:3" ht="13" x14ac:dyDescent="0.15">
      <c r="A525">
        <v>25</v>
      </c>
      <c r="B525">
        <v>270403000</v>
      </c>
      <c r="C525">
        <v>1</v>
      </c>
    </row>
    <row r="526" spans="1:3" ht="13" x14ac:dyDescent="0.15">
      <c r="A526">
        <v>25</v>
      </c>
      <c r="B526">
        <v>270408000</v>
      </c>
      <c r="C526">
        <v>2</v>
      </c>
    </row>
    <row r="527" spans="1:3" ht="13" x14ac:dyDescent="0.15">
      <c r="A527">
        <v>25</v>
      </c>
      <c r="B527">
        <v>270412000</v>
      </c>
      <c r="C527">
        <v>4</v>
      </c>
    </row>
    <row r="528" spans="1:3" ht="13" x14ac:dyDescent="0.15">
      <c r="A528">
        <v>25</v>
      </c>
      <c r="B528">
        <v>270710000</v>
      </c>
      <c r="C528">
        <v>9</v>
      </c>
    </row>
    <row r="529" spans="1:3" ht="13" x14ac:dyDescent="0.15">
      <c r="A529">
        <v>25</v>
      </c>
      <c r="B529">
        <v>270801000</v>
      </c>
      <c r="C529">
        <v>2</v>
      </c>
    </row>
    <row r="530" spans="1:3" ht="13" x14ac:dyDescent="0.15">
      <c r="A530">
        <v>25</v>
      </c>
      <c r="B530">
        <v>270803000</v>
      </c>
      <c r="C530">
        <v>7</v>
      </c>
    </row>
    <row r="531" spans="1:3" ht="13" x14ac:dyDescent="0.15">
      <c r="A531">
        <v>25</v>
      </c>
      <c r="B531">
        <v>270805000</v>
      </c>
      <c r="C531">
        <v>4</v>
      </c>
    </row>
    <row r="532" spans="1:3" ht="13" x14ac:dyDescent="0.15">
      <c r="A532">
        <v>25</v>
      </c>
      <c r="B532">
        <v>270806000</v>
      </c>
      <c r="C532">
        <v>1</v>
      </c>
    </row>
    <row r="533" spans="1:3" ht="13" x14ac:dyDescent="0.15">
      <c r="A533">
        <v>25</v>
      </c>
      <c r="B533">
        <v>270810000</v>
      </c>
      <c r="C533">
        <v>3</v>
      </c>
    </row>
    <row r="534" spans="1:3" ht="13" x14ac:dyDescent="0.15">
      <c r="A534">
        <v>25</v>
      </c>
      <c r="B534">
        <v>270903000</v>
      </c>
      <c r="C534">
        <v>2</v>
      </c>
    </row>
    <row r="535" spans="1:3" ht="13" x14ac:dyDescent="0.15">
      <c r="A535">
        <v>25</v>
      </c>
      <c r="B535">
        <v>270905000</v>
      </c>
      <c r="C535">
        <v>3</v>
      </c>
    </row>
    <row r="536" spans="1:3" ht="13" x14ac:dyDescent="0.15">
      <c r="A536">
        <v>25</v>
      </c>
      <c r="B536">
        <v>270906000</v>
      </c>
      <c r="C536">
        <v>1</v>
      </c>
    </row>
    <row r="537" spans="1:3" ht="13" x14ac:dyDescent="0.15">
      <c r="A537">
        <v>25</v>
      </c>
      <c r="B537">
        <v>270910000</v>
      </c>
      <c r="C537">
        <v>2</v>
      </c>
    </row>
    <row r="538" spans="1:3" ht="13" x14ac:dyDescent="0.15">
      <c r="A538">
        <v>25</v>
      </c>
      <c r="B538">
        <v>270926000</v>
      </c>
      <c r="C538">
        <v>4</v>
      </c>
    </row>
    <row r="539" spans="1:3" ht="13" x14ac:dyDescent="0.15">
      <c r="A539">
        <v>25</v>
      </c>
      <c r="B539">
        <v>271001000</v>
      </c>
      <c r="C539">
        <v>1</v>
      </c>
    </row>
    <row r="540" spans="1:3" ht="13" x14ac:dyDescent="0.15">
      <c r="A540">
        <v>25</v>
      </c>
      <c r="B540">
        <v>271005000</v>
      </c>
      <c r="C540">
        <v>1</v>
      </c>
    </row>
    <row r="541" spans="1:3" ht="13" x14ac:dyDescent="0.15">
      <c r="A541">
        <v>25</v>
      </c>
      <c r="B541">
        <v>271006000</v>
      </c>
      <c r="C541">
        <v>1</v>
      </c>
    </row>
    <row r="542" spans="1:3" ht="13" x14ac:dyDescent="0.15">
      <c r="A542">
        <v>25</v>
      </c>
      <c r="B542">
        <v>271008000</v>
      </c>
      <c r="C542">
        <v>4</v>
      </c>
    </row>
    <row r="543" spans="1:3" ht="13" x14ac:dyDescent="0.15">
      <c r="A543">
        <v>25</v>
      </c>
      <c r="B543">
        <v>271010000</v>
      </c>
      <c r="C543">
        <v>4</v>
      </c>
    </row>
    <row r="544" spans="1:3" ht="13" x14ac:dyDescent="0.15">
      <c r="A544">
        <v>25</v>
      </c>
      <c r="B544">
        <v>271011000</v>
      </c>
      <c r="C544">
        <v>4</v>
      </c>
    </row>
    <row r="545" spans="1:3" ht="13" x14ac:dyDescent="0.15">
      <c r="A545">
        <v>25</v>
      </c>
      <c r="B545">
        <v>271020000</v>
      </c>
      <c r="C545">
        <v>11</v>
      </c>
    </row>
    <row r="546" spans="1:3" ht="13" x14ac:dyDescent="0.15">
      <c r="A546">
        <v>25</v>
      </c>
      <c r="B546">
        <v>271021000</v>
      </c>
      <c r="C546">
        <v>4</v>
      </c>
    </row>
    <row r="547" spans="1:3" ht="13" x14ac:dyDescent="0.15">
      <c r="A547">
        <v>25</v>
      </c>
      <c r="B547">
        <v>271059000</v>
      </c>
      <c r="C547">
        <v>11</v>
      </c>
    </row>
    <row r="548" spans="1:3" ht="13" x14ac:dyDescent="0.15">
      <c r="A548">
        <v>25</v>
      </c>
      <c r="B548">
        <v>271074000</v>
      </c>
      <c r="C548">
        <v>6</v>
      </c>
    </row>
    <row r="549" spans="1:3" ht="13" x14ac:dyDescent="0.15">
      <c r="A549">
        <v>25</v>
      </c>
      <c r="B549">
        <v>271204000</v>
      </c>
      <c r="C549">
        <v>1</v>
      </c>
    </row>
    <row r="550" spans="1:3" ht="13" x14ac:dyDescent="0.15">
      <c r="A550">
        <v>25</v>
      </c>
      <c r="B550">
        <v>271206000</v>
      </c>
      <c r="C550">
        <v>9</v>
      </c>
    </row>
    <row r="551" spans="1:3" ht="13" x14ac:dyDescent="0.15">
      <c r="A551">
        <v>25</v>
      </c>
      <c r="B551">
        <v>271207000</v>
      </c>
      <c r="C551">
        <v>12</v>
      </c>
    </row>
    <row r="552" spans="1:3" ht="13" x14ac:dyDescent="0.15">
      <c r="A552">
        <v>25</v>
      </c>
      <c r="B552">
        <v>271208000</v>
      </c>
      <c r="C552">
        <v>1</v>
      </c>
    </row>
    <row r="553" spans="1:3" ht="13" x14ac:dyDescent="0.15">
      <c r="A553">
        <v>25</v>
      </c>
      <c r="B553">
        <v>271212000</v>
      </c>
      <c r="C553">
        <v>7</v>
      </c>
    </row>
    <row r="554" spans="1:3" ht="13" x14ac:dyDescent="0.15">
      <c r="A554">
        <v>25</v>
      </c>
      <c r="B554">
        <v>271213000</v>
      </c>
      <c r="C554">
        <v>3</v>
      </c>
    </row>
    <row r="555" spans="1:3" ht="13" x14ac:dyDescent="0.15">
      <c r="A555">
        <v>25</v>
      </c>
      <c r="B555">
        <v>271215000</v>
      </c>
      <c r="C555">
        <v>8</v>
      </c>
    </row>
    <row r="556" spans="1:3" ht="13" x14ac:dyDescent="0.15">
      <c r="A556">
        <v>25</v>
      </c>
      <c r="B556">
        <v>271216000</v>
      </c>
      <c r="C556">
        <v>7</v>
      </c>
    </row>
    <row r="557" spans="1:3" ht="13" x14ac:dyDescent="0.15">
      <c r="A557">
        <v>25</v>
      </c>
      <c r="B557">
        <v>271221000</v>
      </c>
      <c r="C557">
        <v>2</v>
      </c>
    </row>
    <row r="558" spans="1:3" ht="13" x14ac:dyDescent="0.15">
      <c r="A558">
        <v>25</v>
      </c>
      <c r="B558">
        <v>271244000</v>
      </c>
      <c r="C558">
        <v>4</v>
      </c>
    </row>
    <row r="559" spans="1:3" ht="13" x14ac:dyDescent="0.15">
      <c r="A559">
        <v>25</v>
      </c>
      <c r="B559">
        <v>271259000</v>
      </c>
      <c r="C559">
        <v>2</v>
      </c>
    </row>
    <row r="560" spans="1:3" ht="13" x14ac:dyDescent="0.15">
      <c r="A560">
        <v>25</v>
      </c>
      <c r="B560">
        <v>271260000</v>
      </c>
      <c r="C560">
        <v>2</v>
      </c>
    </row>
    <row r="561" spans="1:3" ht="13" x14ac:dyDescent="0.15">
      <c r="A561">
        <v>25</v>
      </c>
      <c r="B561">
        <v>271301000</v>
      </c>
      <c r="C561">
        <v>1</v>
      </c>
    </row>
    <row r="562" spans="1:3" ht="13" x14ac:dyDescent="0.15">
      <c r="A562">
        <v>25</v>
      </c>
      <c r="B562">
        <v>271302000</v>
      </c>
      <c r="C562">
        <v>1</v>
      </c>
    </row>
    <row r="563" spans="1:3" ht="13" x14ac:dyDescent="0.15">
      <c r="A563">
        <v>25</v>
      </c>
      <c r="B563">
        <v>271306000</v>
      </c>
      <c r="C563">
        <v>8</v>
      </c>
    </row>
    <row r="564" spans="1:3" ht="13" x14ac:dyDescent="0.15">
      <c r="A564">
        <v>25</v>
      </c>
      <c r="B564">
        <v>271503000</v>
      </c>
      <c r="C564">
        <v>3</v>
      </c>
    </row>
    <row r="565" spans="1:3" ht="13" x14ac:dyDescent="0.15">
      <c r="A565">
        <v>25</v>
      </c>
      <c r="B565">
        <v>271512000</v>
      </c>
      <c r="C565">
        <v>3</v>
      </c>
    </row>
    <row r="566" spans="1:3" ht="13" x14ac:dyDescent="0.15">
      <c r="A566">
        <v>25</v>
      </c>
      <c r="B566">
        <v>271606000</v>
      </c>
      <c r="C566">
        <v>1</v>
      </c>
    </row>
    <row r="567" spans="1:3" ht="13" x14ac:dyDescent="0.15">
      <c r="A567">
        <v>25</v>
      </c>
      <c r="B567">
        <v>271608000</v>
      </c>
      <c r="C567">
        <v>1</v>
      </c>
    </row>
    <row r="568" spans="1:3" ht="13" x14ac:dyDescent="0.15">
      <c r="A568">
        <v>27</v>
      </c>
      <c r="B568">
        <v>270140000</v>
      </c>
      <c r="C568">
        <v>3</v>
      </c>
    </row>
    <row r="569" spans="1:3" ht="13" x14ac:dyDescent="0.15">
      <c r="A569">
        <v>27</v>
      </c>
      <c r="B569">
        <v>270204000</v>
      </c>
      <c r="C569">
        <v>1</v>
      </c>
    </row>
    <row r="570" spans="1:3" ht="13" x14ac:dyDescent="0.15">
      <c r="A570">
        <v>27</v>
      </c>
      <c r="B570">
        <v>270217000</v>
      </c>
      <c r="C570">
        <v>2</v>
      </c>
    </row>
    <row r="571" spans="1:3" ht="13" x14ac:dyDescent="0.15">
      <c r="A571">
        <v>27</v>
      </c>
      <c r="B571">
        <v>270304000</v>
      </c>
      <c r="C571">
        <v>1</v>
      </c>
    </row>
    <row r="572" spans="1:3" ht="13" x14ac:dyDescent="0.15">
      <c r="A572">
        <v>27</v>
      </c>
      <c r="B572">
        <v>270310000</v>
      </c>
      <c r="C572">
        <v>2</v>
      </c>
    </row>
    <row r="573" spans="1:3" ht="13" x14ac:dyDescent="0.15">
      <c r="A573">
        <v>27</v>
      </c>
      <c r="B573">
        <v>270316000</v>
      </c>
      <c r="C573">
        <v>6</v>
      </c>
    </row>
    <row r="574" spans="1:3" ht="13" x14ac:dyDescent="0.15">
      <c r="A574">
        <v>27</v>
      </c>
      <c r="B574">
        <v>270328000</v>
      </c>
      <c r="C574">
        <v>1</v>
      </c>
    </row>
    <row r="575" spans="1:3" ht="13" x14ac:dyDescent="0.15">
      <c r="A575">
        <v>27</v>
      </c>
      <c r="B575">
        <v>270330000</v>
      </c>
      <c r="C575">
        <v>1</v>
      </c>
    </row>
    <row r="576" spans="1:3" ht="13" x14ac:dyDescent="0.15">
      <c r="A576">
        <v>27</v>
      </c>
      <c r="B576">
        <v>270412000</v>
      </c>
      <c r="C576">
        <v>4</v>
      </c>
    </row>
    <row r="577" spans="1:3" ht="13" x14ac:dyDescent="0.15">
      <c r="A577">
        <v>27</v>
      </c>
      <c r="B577">
        <v>270710000</v>
      </c>
      <c r="C577">
        <v>6</v>
      </c>
    </row>
    <row r="578" spans="1:3" ht="13" x14ac:dyDescent="0.15">
      <c r="A578">
        <v>27</v>
      </c>
      <c r="B578">
        <v>270716000</v>
      </c>
      <c r="C578">
        <v>6</v>
      </c>
    </row>
    <row r="579" spans="1:3" ht="13" x14ac:dyDescent="0.15">
      <c r="A579">
        <v>27</v>
      </c>
      <c r="B579">
        <v>270801000</v>
      </c>
      <c r="C579">
        <v>1</v>
      </c>
    </row>
    <row r="580" spans="1:3" ht="13" x14ac:dyDescent="0.15">
      <c r="A580">
        <v>27</v>
      </c>
      <c r="B580">
        <v>270803000</v>
      </c>
      <c r="C580">
        <v>3</v>
      </c>
    </row>
    <row r="581" spans="1:3" ht="13" x14ac:dyDescent="0.15">
      <c r="A581">
        <v>27</v>
      </c>
      <c r="B581">
        <v>270903000</v>
      </c>
      <c r="C581">
        <v>1</v>
      </c>
    </row>
    <row r="582" spans="1:3" ht="13" x14ac:dyDescent="0.15">
      <c r="A582">
        <v>27</v>
      </c>
      <c r="B582">
        <v>270904000</v>
      </c>
      <c r="C582">
        <v>1</v>
      </c>
    </row>
    <row r="583" spans="1:3" ht="13" x14ac:dyDescent="0.15">
      <c r="A583">
        <v>27</v>
      </c>
      <c r="B583">
        <v>270905000</v>
      </c>
      <c r="C583">
        <v>1</v>
      </c>
    </row>
    <row r="584" spans="1:3" ht="13" x14ac:dyDescent="0.15">
      <c r="A584">
        <v>27</v>
      </c>
      <c r="B584">
        <v>270906000</v>
      </c>
      <c r="C584">
        <v>1</v>
      </c>
    </row>
    <row r="585" spans="1:3" ht="13" x14ac:dyDescent="0.15">
      <c r="A585">
        <v>27</v>
      </c>
      <c r="B585">
        <v>270910000</v>
      </c>
      <c r="C585">
        <v>1</v>
      </c>
    </row>
    <row r="586" spans="1:3" ht="13" x14ac:dyDescent="0.15">
      <c r="A586">
        <v>27</v>
      </c>
      <c r="B586">
        <v>270926000</v>
      </c>
      <c r="C586">
        <v>8</v>
      </c>
    </row>
    <row r="587" spans="1:3" ht="13" x14ac:dyDescent="0.15">
      <c r="A587">
        <v>27</v>
      </c>
      <c r="B587">
        <v>271002000</v>
      </c>
      <c r="C587">
        <v>1</v>
      </c>
    </row>
    <row r="588" spans="1:3" ht="13" x14ac:dyDescent="0.15">
      <c r="A588">
        <v>27</v>
      </c>
      <c r="B588">
        <v>271005000</v>
      </c>
      <c r="C588">
        <v>1</v>
      </c>
    </row>
    <row r="589" spans="1:3" ht="13" x14ac:dyDescent="0.15">
      <c r="A589">
        <v>27</v>
      </c>
      <c r="B589">
        <v>271006000</v>
      </c>
      <c r="C589">
        <v>2</v>
      </c>
    </row>
    <row r="590" spans="1:3" ht="13" x14ac:dyDescent="0.15">
      <c r="A590">
        <v>27</v>
      </c>
      <c r="B590">
        <v>271008000</v>
      </c>
      <c r="C590">
        <v>1</v>
      </c>
    </row>
    <row r="591" spans="1:3" ht="13" x14ac:dyDescent="0.15">
      <c r="A591">
        <v>27</v>
      </c>
      <c r="B591">
        <v>271010000</v>
      </c>
      <c r="C591">
        <v>2</v>
      </c>
    </row>
    <row r="592" spans="1:3" ht="13" x14ac:dyDescent="0.15">
      <c r="A592">
        <v>27</v>
      </c>
      <c r="B592">
        <v>271011000</v>
      </c>
      <c r="C592">
        <v>2</v>
      </c>
    </row>
    <row r="593" spans="1:3" ht="13" x14ac:dyDescent="0.15">
      <c r="A593">
        <v>27</v>
      </c>
      <c r="B593">
        <v>271020000</v>
      </c>
      <c r="C593">
        <v>2</v>
      </c>
    </row>
    <row r="594" spans="1:3" ht="13" x14ac:dyDescent="0.15">
      <c r="A594">
        <v>27</v>
      </c>
      <c r="B594">
        <v>271059000</v>
      </c>
      <c r="C594">
        <v>5</v>
      </c>
    </row>
    <row r="595" spans="1:3" ht="13" x14ac:dyDescent="0.15">
      <c r="A595">
        <v>27</v>
      </c>
      <c r="B595">
        <v>271074000</v>
      </c>
      <c r="C595">
        <v>3</v>
      </c>
    </row>
    <row r="596" spans="1:3" ht="13" x14ac:dyDescent="0.15">
      <c r="A596">
        <v>27</v>
      </c>
      <c r="B596">
        <v>271206000</v>
      </c>
      <c r="C596">
        <v>3</v>
      </c>
    </row>
    <row r="597" spans="1:3" ht="13" x14ac:dyDescent="0.15">
      <c r="A597">
        <v>27</v>
      </c>
      <c r="B597">
        <v>271207000</v>
      </c>
      <c r="C597">
        <v>3</v>
      </c>
    </row>
    <row r="598" spans="1:3" ht="13" x14ac:dyDescent="0.15">
      <c r="A598">
        <v>27</v>
      </c>
      <c r="B598">
        <v>271215000</v>
      </c>
      <c r="C598">
        <v>1</v>
      </c>
    </row>
    <row r="599" spans="1:3" ht="13" x14ac:dyDescent="0.15">
      <c r="A599">
        <v>27</v>
      </c>
      <c r="B599">
        <v>271221000</v>
      </c>
      <c r="C599">
        <v>1</v>
      </c>
    </row>
    <row r="600" spans="1:3" ht="13" x14ac:dyDescent="0.15">
      <c r="A600">
        <v>27</v>
      </c>
      <c r="B600">
        <v>271259000</v>
      </c>
      <c r="C600">
        <v>1</v>
      </c>
    </row>
    <row r="601" spans="1:3" ht="13" x14ac:dyDescent="0.15">
      <c r="A601">
        <v>27</v>
      </c>
      <c r="B601">
        <v>271302000</v>
      </c>
      <c r="C601">
        <v>1</v>
      </c>
    </row>
    <row r="602" spans="1:3" ht="13" x14ac:dyDescent="0.15">
      <c r="A602">
        <v>27</v>
      </c>
      <c r="B602">
        <v>271454000</v>
      </c>
      <c r="C602">
        <v>2</v>
      </c>
    </row>
    <row r="603" spans="1:3" ht="13" x14ac:dyDescent="0.15">
      <c r="A603">
        <v>27</v>
      </c>
      <c r="B603">
        <v>271503000</v>
      </c>
      <c r="C603">
        <v>1</v>
      </c>
    </row>
    <row r="604" spans="1:3" ht="13" x14ac:dyDescent="0.15">
      <c r="A604">
        <v>27</v>
      </c>
      <c r="B604">
        <v>271512000</v>
      </c>
      <c r="C604">
        <v>7</v>
      </c>
    </row>
    <row r="605" spans="1:3" ht="13" x14ac:dyDescent="0.15">
      <c r="A605">
        <v>27</v>
      </c>
      <c r="B605">
        <v>271513000</v>
      </c>
      <c r="C605">
        <v>3</v>
      </c>
    </row>
    <row r="606" spans="1:3" ht="13" x14ac:dyDescent="0.15">
      <c r="A606">
        <v>31</v>
      </c>
      <c r="B606">
        <v>270122000</v>
      </c>
      <c r="C606">
        <v>2</v>
      </c>
    </row>
    <row r="607" spans="1:3" ht="13" x14ac:dyDescent="0.15">
      <c r="A607">
        <v>31</v>
      </c>
      <c r="B607">
        <v>270140000</v>
      </c>
      <c r="C607">
        <v>2</v>
      </c>
    </row>
    <row r="608" spans="1:3" ht="13" x14ac:dyDescent="0.15">
      <c r="A608">
        <v>31</v>
      </c>
      <c r="B608">
        <v>270180000</v>
      </c>
      <c r="C608">
        <v>1</v>
      </c>
    </row>
    <row r="609" spans="1:3" ht="13" x14ac:dyDescent="0.15">
      <c r="A609">
        <v>31</v>
      </c>
      <c r="B609">
        <v>270204000</v>
      </c>
      <c r="C609">
        <v>1</v>
      </c>
    </row>
    <row r="610" spans="1:3" ht="13" x14ac:dyDescent="0.15">
      <c r="A610">
        <v>31</v>
      </c>
      <c r="B610">
        <v>270217000</v>
      </c>
      <c r="C610">
        <v>1</v>
      </c>
    </row>
    <row r="611" spans="1:3" ht="13" x14ac:dyDescent="0.15">
      <c r="A611">
        <v>31</v>
      </c>
      <c r="B611">
        <v>270271000</v>
      </c>
      <c r="C611">
        <v>2</v>
      </c>
    </row>
    <row r="612" spans="1:3" ht="13" x14ac:dyDescent="0.15">
      <c r="A612">
        <v>31</v>
      </c>
      <c r="B612">
        <v>270273000</v>
      </c>
      <c r="C612">
        <v>1</v>
      </c>
    </row>
    <row r="613" spans="1:3" ht="13" x14ac:dyDescent="0.15">
      <c r="A613">
        <v>31</v>
      </c>
      <c r="B613">
        <v>270274000</v>
      </c>
      <c r="C613">
        <v>1</v>
      </c>
    </row>
    <row r="614" spans="1:3" ht="13" x14ac:dyDescent="0.15">
      <c r="A614">
        <v>31</v>
      </c>
      <c r="B614">
        <v>270275000</v>
      </c>
      <c r="C614">
        <v>3</v>
      </c>
    </row>
    <row r="615" spans="1:3" ht="13" x14ac:dyDescent="0.15">
      <c r="A615">
        <v>31</v>
      </c>
      <c r="B615">
        <v>270277000</v>
      </c>
      <c r="C615">
        <v>1</v>
      </c>
    </row>
    <row r="616" spans="1:3" ht="13" x14ac:dyDescent="0.15">
      <c r="A616">
        <v>31</v>
      </c>
      <c r="B616">
        <v>270280000</v>
      </c>
      <c r="C616">
        <v>1</v>
      </c>
    </row>
    <row r="617" spans="1:3" ht="13" x14ac:dyDescent="0.15">
      <c r="A617">
        <v>31</v>
      </c>
      <c r="B617">
        <v>270282000</v>
      </c>
      <c r="C617">
        <v>1</v>
      </c>
    </row>
    <row r="618" spans="1:3" ht="13" x14ac:dyDescent="0.15">
      <c r="A618">
        <v>31</v>
      </c>
      <c r="B618">
        <v>270286000</v>
      </c>
      <c r="C618">
        <v>2</v>
      </c>
    </row>
    <row r="619" spans="1:3" ht="13" x14ac:dyDescent="0.15">
      <c r="A619">
        <v>31</v>
      </c>
      <c r="B619">
        <v>270287000</v>
      </c>
      <c r="C619">
        <v>1</v>
      </c>
    </row>
    <row r="620" spans="1:3" ht="13" x14ac:dyDescent="0.15">
      <c r="A620">
        <v>31</v>
      </c>
      <c r="B620">
        <v>270304000</v>
      </c>
      <c r="C620">
        <v>1</v>
      </c>
    </row>
    <row r="621" spans="1:3" ht="13" x14ac:dyDescent="0.15">
      <c r="A621">
        <v>31</v>
      </c>
      <c r="B621">
        <v>270310000</v>
      </c>
      <c r="C621">
        <v>1</v>
      </c>
    </row>
    <row r="622" spans="1:3" ht="13" x14ac:dyDescent="0.15">
      <c r="A622">
        <v>31</v>
      </c>
      <c r="B622">
        <v>270358000</v>
      </c>
      <c r="C622">
        <v>1</v>
      </c>
    </row>
    <row r="623" spans="1:3" ht="13" x14ac:dyDescent="0.15">
      <c r="A623">
        <v>31</v>
      </c>
      <c r="B623">
        <v>270359000</v>
      </c>
      <c r="C623">
        <v>1</v>
      </c>
    </row>
    <row r="624" spans="1:3" ht="13" x14ac:dyDescent="0.15">
      <c r="A624">
        <v>31</v>
      </c>
      <c r="B624">
        <v>270389000</v>
      </c>
      <c r="C624">
        <v>1</v>
      </c>
    </row>
    <row r="625" spans="1:3" ht="13" x14ac:dyDescent="0.15">
      <c r="A625">
        <v>31</v>
      </c>
      <c r="B625">
        <v>270403000</v>
      </c>
      <c r="C625">
        <v>2</v>
      </c>
    </row>
    <row r="626" spans="1:3" ht="13" x14ac:dyDescent="0.15">
      <c r="A626">
        <v>31</v>
      </c>
      <c r="B626">
        <v>270408000</v>
      </c>
      <c r="C626">
        <v>1</v>
      </c>
    </row>
    <row r="627" spans="1:3" ht="13" x14ac:dyDescent="0.15">
      <c r="A627">
        <v>31</v>
      </c>
      <c r="B627">
        <v>270411000</v>
      </c>
      <c r="C627">
        <v>5</v>
      </c>
    </row>
    <row r="628" spans="1:3" ht="13" x14ac:dyDescent="0.15">
      <c r="A628">
        <v>31</v>
      </c>
      <c r="B628">
        <v>270413000</v>
      </c>
      <c r="C628">
        <v>1</v>
      </c>
    </row>
    <row r="629" spans="1:3" ht="13" x14ac:dyDescent="0.15">
      <c r="A629">
        <v>31</v>
      </c>
      <c r="B629">
        <v>270710000</v>
      </c>
      <c r="C629">
        <v>3</v>
      </c>
    </row>
    <row r="630" spans="1:3" ht="13" x14ac:dyDescent="0.15">
      <c r="A630">
        <v>31</v>
      </c>
      <c r="B630">
        <v>270716000</v>
      </c>
      <c r="C630">
        <v>4</v>
      </c>
    </row>
    <row r="631" spans="1:3" ht="13" x14ac:dyDescent="0.15">
      <c r="A631">
        <v>31</v>
      </c>
      <c r="B631">
        <v>270717000</v>
      </c>
      <c r="C631">
        <v>1</v>
      </c>
    </row>
    <row r="632" spans="1:3" ht="13" x14ac:dyDescent="0.15">
      <c r="A632">
        <v>31</v>
      </c>
      <c r="B632">
        <v>270801000</v>
      </c>
      <c r="C632">
        <v>1</v>
      </c>
    </row>
    <row r="633" spans="1:3" ht="13" x14ac:dyDescent="0.15">
      <c r="A633">
        <v>31</v>
      </c>
      <c r="B633">
        <v>270803000</v>
      </c>
      <c r="C633">
        <v>2</v>
      </c>
    </row>
    <row r="634" spans="1:3" ht="13" x14ac:dyDescent="0.15">
      <c r="A634">
        <v>31</v>
      </c>
      <c r="B634">
        <v>270805000</v>
      </c>
      <c r="C634">
        <v>1</v>
      </c>
    </row>
    <row r="635" spans="1:3" ht="13" x14ac:dyDescent="0.15">
      <c r="A635">
        <v>31</v>
      </c>
      <c r="B635">
        <v>270806000</v>
      </c>
      <c r="C635">
        <v>1</v>
      </c>
    </row>
    <row r="636" spans="1:3" ht="13" x14ac:dyDescent="0.15">
      <c r="A636">
        <v>31</v>
      </c>
      <c r="B636">
        <v>270810000</v>
      </c>
      <c r="C636">
        <v>1</v>
      </c>
    </row>
    <row r="637" spans="1:3" ht="13" x14ac:dyDescent="0.15">
      <c r="A637">
        <v>31</v>
      </c>
      <c r="B637">
        <v>270903000</v>
      </c>
      <c r="C637">
        <v>1</v>
      </c>
    </row>
    <row r="638" spans="1:3" ht="13" x14ac:dyDescent="0.15">
      <c r="A638">
        <v>31</v>
      </c>
      <c r="B638">
        <v>270906000</v>
      </c>
      <c r="C638">
        <v>1</v>
      </c>
    </row>
    <row r="639" spans="1:3" ht="13" x14ac:dyDescent="0.15">
      <c r="A639">
        <v>31</v>
      </c>
      <c r="B639">
        <v>270910000</v>
      </c>
      <c r="C639">
        <v>1</v>
      </c>
    </row>
    <row r="640" spans="1:3" ht="13" x14ac:dyDescent="0.15">
      <c r="A640">
        <v>31</v>
      </c>
      <c r="B640">
        <v>270914000</v>
      </c>
      <c r="C640">
        <v>1</v>
      </c>
    </row>
    <row r="641" spans="1:3" ht="13" x14ac:dyDescent="0.15">
      <c r="A641">
        <v>31</v>
      </c>
      <c r="B641">
        <v>270926000</v>
      </c>
      <c r="C641">
        <v>4</v>
      </c>
    </row>
    <row r="642" spans="1:3" ht="13" x14ac:dyDescent="0.15">
      <c r="A642">
        <v>31</v>
      </c>
      <c r="B642">
        <v>271002000</v>
      </c>
      <c r="C642">
        <v>2</v>
      </c>
    </row>
    <row r="643" spans="1:3" ht="13" x14ac:dyDescent="0.15">
      <c r="A643">
        <v>31</v>
      </c>
      <c r="B643">
        <v>271005000</v>
      </c>
      <c r="C643">
        <v>1</v>
      </c>
    </row>
    <row r="644" spans="1:3" ht="13" x14ac:dyDescent="0.15">
      <c r="A644">
        <v>31</v>
      </c>
      <c r="B644">
        <v>271008000</v>
      </c>
      <c r="C644">
        <v>1</v>
      </c>
    </row>
    <row r="645" spans="1:3" ht="13" x14ac:dyDescent="0.15">
      <c r="A645">
        <v>31</v>
      </c>
      <c r="B645">
        <v>271010000</v>
      </c>
      <c r="C645">
        <v>1</v>
      </c>
    </row>
    <row r="646" spans="1:3" ht="13" x14ac:dyDescent="0.15">
      <c r="A646">
        <v>31</v>
      </c>
      <c r="B646">
        <v>271011000</v>
      </c>
      <c r="C646">
        <v>2</v>
      </c>
    </row>
    <row r="647" spans="1:3" ht="13" x14ac:dyDescent="0.15">
      <c r="A647">
        <v>31</v>
      </c>
      <c r="B647">
        <v>271020000</v>
      </c>
      <c r="C647">
        <v>2</v>
      </c>
    </row>
    <row r="648" spans="1:3" ht="13" x14ac:dyDescent="0.15">
      <c r="A648">
        <v>31</v>
      </c>
      <c r="B648">
        <v>271021000</v>
      </c>
      <c r="C648">
        <v>1</v>
      </c>
    </row>
    <row r="649" spans="1:3" ht="13" x14ac:dyDescent="0.15">
      <c r="A649">
        <v>31</v>
      </c>
      <c r="B649">
        <v>271059000</v>
      </c>
      <c r="C649">
        <v>3</v>
      </c>
    </row>
    <row r="650" spans="1:3" ht="13" x14ac:dyDescent="0.15">
      <c r="A650">
        <v>31</v>
      </c>
      <c r="B650">
        <v>271073000</v>
      </c>
      <c r="C650">
        <v>1</v>
      </c>
    </row>
    <row r="651" spans="1:3" ht="13" x14ac:dyDescent="0.15">
      <c r="A651">
        <v>31</v>
      </c>
      <c r="B651">
        <v>271204000</v>
      </c>
      <c r="C651">
        <v>3</v>
      </c>
    </row>
    <row r="652" spans="1:3" ht="13" x14ac:dyDescent="0.15">
      <c r="A652">
        <v>31</v>
      </c>
      <c r="B652">
        <v>271206000</v>
      </c>
      <c r="C652">
        <v>1</v>
      </c>
    </row>
    <row r="653" spans="1:3" ht="13" x14ac:dyDescent="0.15">
      <c r="A653">
        <v>31</v>
      </c>
      <c r="B653">
        <v>271207000</v>
      </c>
      <c r="C653">
        <v>6</v>
      </c>
    </row>
    <row r="654" spans="1:3" ht="13" x14ac:dyDescent="0.15">
      <c r="A654">
        <v>31</v>
      </c>
      <c r="B654">
        <v>271212000</v>
      </c>
      <c r="C654">
        <v>1</v>
      </c>
    </row>
    <row r="655" spans="1:3" ht="13" x14ac:dyDescent="0.15">
      <c r="A655">
        <v>31</v>
      </c>
      <c r="B655">
        <v>271213000</v>
      </c>
      <c r="C655">
        <v>1</v>
      </c>
    </row>
    <row r="656" spans="1:3" ht="13" x14ac:dyDescent="0.15">
      <c r="A656">
        <v>31</v>
      </c>
      <c r="B656">
        <v>271215000</v>
      </c>
      <c r="C656">
        <v>1</v>
      </c>
    </row>
    <row r="657" spans="1:3" ht="13" x14ac:dyDescent="0.15">
      <c r="A657">
        <v>31</v>
      </c>
      <c r="B657">
        <v>271216000</v>
      </c>
      <c r="C657">
        <v>4</v>
      </c>
    </row>
    <row r="658" spans="1:3" ht="13" x14ac:dyDescent="0.15">
      <c r="A658">
        <v>31</v>
      </c>
      <c r="B658">
        <v>271221000</v>
      </c>
      <c r="C658">
        <v>1</v>
      </c>
    </row>
    <row r="659" spans="1:3" ht="13" x14ac:dyDescent="0.15">
      <c r="A659">
        <v>31</v>
      </c>
      <c r="B659">
        <v>271244000</v>
      </c>
      <c r="C659">
        <v>3</v>
      </c>
    </row>
    <row r="660" spans="1:3" ht="13" x14ac:dyDescent="0.15">
      <c r="A660">
        <v>31</v>
      </c>
      <c r="B660">
        <v>271259000</v>
      </c>
      <c r="C660">
        <v>1</v>
      </c>
    </row>
    <row r="661" spans="1:3" ht="13" x14ac:dyDescent="0.15">
      <c r="A661">
        <v>31</v>
      </c>
      <c r="B661">
        <v>271260000</v>
      </c>
      <c r="C661">
        <v>1</v>
      </c>
    </row>
    <row r="662" spans="1:3" ht="13" x14ac:dyDescent="0.15">
      <c r="A662">
        <v>31</v>
      </c>
      <c r="B662">
        <v>271306000</v>
      </c>
      <c r="C662">
        <v>2</v>
      </c>
    </row>
    <row r="663" spans="1:3" ht="13" x14ac:dyDescent="0.15">
      <c r="A663">
        <v>31</v>
      </c>
      <c r="B663">
        <v>271455000</v>
      </c>
      <c r="C663">
        <v>1</v>
      </c>
    </row>
    <row r="664" spans="1:3" ht="13" x14ac:dyDescent="0.15">
      <c r="A664">
        <v>31</v>
      </c>
      <c r="B664">
        <v>271512000</v>
      </c>
      <c r="C664">
        <v>4</v>
      </c>
    </row>
    <row r="665" spans="1:3" ht="13" x14ac:dyDescent="0.15">
      <c r="A665">
        <v>31</v>
      </c>
      <c r="B665">
        <v>271513000</v>
      </c>
      <c r="C665">
        <v>1</v>
      </c>
    </row>
    <row r="666" spans="1:3" ht="13" x14ac:dyDescent="0.15">
      <c r="A666">
        <v>31</v>
      </c>
      <c r="B666">
        <v>271514000</v>
      </c>
      <c r="C666">
        <v>1</v>
      </c>
    </row>
    <row r="667" spans="1:3" ht="13" x14ac:dyDescent="0.15">
      <c r="A667">
        <v>31</v>
      </c>
      <c r="B667">
        <v>271606000</v>
      </c>
      <c r="C667">
        <v>1</v>
      </c>
    </row>
    <row r="668" spans="1:3" ht="13" x14ac:dyDescent="0.15">
      <c r="A668">
        <v>31</v>
      </c>
      <c r="B668">
        <v>271608000</v>
      </c>
      <c r="C668">
        <v>1</v>
      </c>
    </row>
    <row r="669" spans="1:3" ht="13" x14ac:dyDescent="0.15">
      <c r="A669">
        <v>32</v>
      </c>
      <c r="B669">
        <v>270140000</v>
      </c>
      <c r="C669">
        <v>12</v>
      </c>
    </row>
    <row r="670" spans="1:3" ht="13" x14ac:dyDescent="0.15">
      <c r="A670">
        <v>32</v>
      </c>
      <c r="B670">
        <v>270167000</v>
      </c>
      <c r="C670">
        <v>1</v>
      </c>
    </row>
    <row r="671" spans="1:3" ht="13" x14ac:dyDescent="0.15">
      <c r="A671">
        <v>32</v>
      </c>
      <c r="B671">
        <v>270172000</v>
      </c>
      <c r="C671">
        <v>3</v>
      </c>
    </row>
    <row r="672" spans="1:3" ht="13" x14ac:dyDescent="0.15">
      <c r="A672">
        <v>32</v>
      </c>
      <c r="B672">
        <v>270204000</v>
      </c>
      <c r="C672">
        <v>3</v>
      </c>
    </row>
    <row r="673" spans="1:3" ht="13" x14ac:dyDescent="0.15">
      <c r="A673">
        <v>32</v>
      </c>
      <c r="B673">
        <v>270217000</v>
      </c>
      <c r="C673">
        <v>1</v>
      </c>
    </row>
    <row r="674" spans="1:3" ht="13" x14ac:dyDescent="0.15">
      <c r="A674">
        <v>32</v>
      </c>
      <c r="B674">
        <v>270271000</v>
      </c>
      <c r="C674">
        <v>1</v>
      </c>
    </row>
    <row r="675" spans="1:3" ht="13" x14ac:dyDescent="0.15">
      <c r="A675">
        <v>32</v>
      </c>
      <c r="B675">
        <v>270274000</v>
      </c>
      <c r="C675">
        <v>2</v>
      </c>
    </row>
    <row r="676" spans="1:3" ht="13" x14ac:dyDescent="0.15">
      <c r="A676">
        <v>32</v>
      </c>
      <c r="B676">
        <v>270277000</v>
      </c>
      <c r="C676">
        <v>2</v>
      </c>
    </row>
    <row r="677" spans="1:3" ht="13" x14ac:dyDescent="0.15">
      <c r="A677">
        <v>32</v>
      </c>
      <c r="B677">
        <v>270286000</v>
      </c>
      <c r="C677">
        <v>20</v>
      </c>
    </row>
    <row r="678" spans="1:3" ht="13" x14ac:dyDescent="0.15">
      <c r="A678">
        <v>32</v>
      </c>
      <c r="B678">
        <v>270304000</v>
      </c>
      <c r="C678">
        <v>1</v>
      </c>
    </row>
    <row r="679" spans="1:3" ht="13" x14ac:dyDescent="0.15">
      <c r="A679">
        <v>32</v>
      </c>
      <c r="B679">
        <v>270316000</v>
      </c>
      <c r="C679">
        <v>4</v>
      </c>
    </row>
    <row r="680" spans="1:3" ht="13" x14ac:dyDescent="0.15">
      <c r="A680">
        <v>32</v>
      </c>
      <c r="B680">
        <v>270328000</v>
      </c>
      <c r="C680">
        <v>4</v>
      </c>
    </row>
    <row r="681" spans="1:3" ht="13" x14ac:dyDescent="0.15">
      <c r="A681">
        <v>32</v>
      </c>
      <c r="B681">
        <v>270330000</v>
      </c>
      <c r="C681">
        <v>1</v>
      </c>
    </row>
    <row r="682" spans="1:3" ht="13" x14ac:dyDescent="0.15">
      <c r="A682">
        <v>32</v>
      </c>
      <c r="B682">
        <v>270403000</v>
      </c>
      <c r="C682">
        <v>5</v>
      </c>
    </row>
    <row r="683" spans="1:3" ht="13" x14ac:dyDescent="0.15">
      <c r="A683">
        <v>32</v>
      </c>
      <c r="B683">
        <v>270405000</v>
      </c>
      <c r="C683">
        <v>1</v>
      </c>
    </row>
    <row r="684" spans="1:3" ht="13" x14ac:dyDescent="0.15">
      <c r="A684">
        <v>32</v>
      </c>
      <c r="B684">
        <v>270408000</v>
      </c>
      <c r="C684">
        <v>3</v>
      </c>
    </row>
    <row r="685" spans="1:3" ht="13" x14ac:dyDescent="0.15">
      <c r="A685">
        <v>32</v>
      </c>
      <c r="B685">
        <v>270412000</v>
      </c>
      <c r="C685">
        <v>8</v>
      </c>
    </row>
    <row r="686" spans="1:3" ht="13" x14ac:dyDescent="0.15">
      <c r="A686">
        <v>32</v>
      </c>
      <c r="B686">
        <v>270710000</v>
      </c>
      <c r="C686">
        <v>13</v>
      </c>
    </row>
    <row r="687" spans="1:3" ht="13" x14ac:dyDescent="0.15">
      <c r="A687">
        <v>32</v>
      </c>
      <c r="B687">
        <v>270716000</v>
      </c>
      <c r="C687">
        <v>1</v>
      </c>
    </row>
    <row r="688" spans="1:3" ht="13" x14ac:dyDescent="0.15">
      <c r="A688">
        <v>32</v>
      </c>
      <c r="B688">
        <v>270803000</v>
      </c>
      <c r="C688">
        <v>9</v>
      </c>
    </row>
    <row r="689" spans="1:3" ht="13" x14ac:dyDescent="0.15">
      <c r="A689">
        <v>32</v>
      </c>
      <c r="B689">
        <v>270805000</v>
      </c>
      <c r="C689">
        <v>6</v>
      </c>
    </row>
    <row r="690" spans="1:3" ht="13" x14ac:dyDescent="0.15">
      <c r="A690">
        <v>32</v>
      </c>
      <c r="B690">
        <v>270904000</v>
      </c>
      <c r="C690">
        <v>1</v>
      </c>
    </row>
    <row r="691" spans="1:3" ht="13" x14ac:dyDescent="0.15">
      <c r="A691">
        <v>32</v>
      </c>
      <c r="B691">
        <v>270905000</v>
      </c>
      <c r="C691">
        <v>1</v>
      </c>
    </row>
    <row r="692" spans="1:3" ht="13" x14ac:dyDescent="0.15">
      <c r="A692">
        <v>32</v>
      </c>
      <c r="B692">
        <v>270906000</v>
      </c>
      <c r="C692">
        <v>2</v>
      </c>
    </row>
    <row r="693" spans="1:3" ht="13" x14ac:dyDescent="0.15">
      <c r="A693">
        <v>32</v>
      </c>
      <c r="B693">
        <v>270910000</v>
      </c>
      <c r="C693">
        <v>1</v>
      </c>
    </row>
    <row r="694" spans="1:3" ht="13" x14ac:dyDescent="0.15">
      <c r="A694">
        <v>32</v>
      </c>
      <c r="B694">
        <v>270914000</v>
      </c>
      <c r="C694">
        <v>1</v>
      </c>
    </row>
    <row r="695" spans="1:3" ht="13" x14ac:dyDescent="0.15">
      <c r="A695">
        <v>32</v>
      </c>
      <c r="B695">
        <v>270926000</v>
      </c>
      <c r="C695">
        <v>13</v>
      </c>
    </row>
    <row r="696" spans="1:3" ht="13" x14ac:dyDescent="0.15">
      <c r="A696">
        <v>32</v>
      </c>
      <c r="B696">
        <v>271002000</v>
      </c>
      <c r="C696">
        <v>2</v>
      </c>
    </row>
    <row r="697" spans="1:3" ht="13" x14ac:dyDescent="0.15">
      <c r="A697">
        <v>32</v>
      </c>
      <c r="B697">
        <v>271005000</v>
      </c>
      <c r="C697">
        <v>1</v>
      </c>
    </row>
    <row r="698" spans="1:3" ht="13" x14ac:dyDescent="0.15">
      <c r="A698">
        <v>32</v>
      </c>
      <c r="B698">
        <v>271006000</v>
      </c>
      <c r="C698">
        <v>3</v>
      </c>
    </row>
    <row r="699" spans="1:3" ht="13" x14ac:dyDescent="0.15">
      <c r="A699">
        <v>32</v>
      </c>
      <c r="B699">
        <v>271011000</v>
      </c>
      <c r="C699">
        <v>2</v>
      </c>
    </row>
    <row r="700" spans="1:3" ht="13" x14ac:dyDescent="0.15">
      <c r="A700">
        <v>32</v>
      </c>
      <c r="B700">
        <v>271020000</v>
      </c>
      <c r="C700">
        <v>6</v>
      </c>
    </row>
    <row r="701" spans="1:3" ht="13" x14ac:dyDescent="0.15">
      <c r="A701">
        <v>32</v>
      </c>
      <c r="B701">
        <v>271021000</v>
      </c>
      <c r="C701">
        <v>4</v>
      </c>
    </row>
    <row r="702" spans="1:3" ht="13" x14ac:dyDescent="0.15">
      <c r="A702">
        <v>32</v>
      </c>
      <c r="B702">
        <v>271025000</v>
      </c>
      <c r="C702">
        <v>2</v>
      </c>
    </row>
    <row r="703" spans="1:3" ht="13" x14ac:dyDescent="0.15">
      <c r="A703">
        <v>32</v>
      </c>
      <c r="B703">
        <v>271059000</v>
      </c>
      <c r="C703">
        <v>9</v>
      </c>
    </row>
    <row r="704" spans="1:3" ht="13" x14ac:dyDescent="0.15">
      <c r="A704">
        <v>32</v>
      </c>
      <c r="B704">
        <v>271073000</v>
      </c>
      <c r="C704">
        <v>1</v>
      </c>
    </row>
    <row r="705" spans="1:3" ht="13" x14ac:dyDescent="0.15">
      <c r="A705">
        <v>32</v>
      </c>
      <c r="B705">
        <v>271074000</v>
      </c>
      <c r="C705">
        <v>5</v>
      </c>
    </row>
    <row r="706" spans="1:3" ht="13" x14ac:dyDescent="0.15">
      <c r="A706">
        <v>32</v>
      </c>
      <c r="B706">
        <v>271204000</v>
      </c>
      <c r="C706">
        <v>1</v>
      </c>
    </row>
    <row r="707" spans="1:3" ht="13" x14ac:dyDescent="0.15">
      <c r="A707">
        <v>32</v>
      </c>
      <c r="B707">
        <v>271206000</v>
      </c>
      <c r="C707">
        <v>6</v>
      </c>
    </row>
    <row r="708" spans="1:3" ht="13" x14ac:dyDescent="0.15">
      <c r="A708">
        <v>32</v>
      </c>
      <c r="B708">
        <v>271207000</v>
      </c>
      <c r="C708">
        <v>8</v>
      </c>
    </row>
    <row r="709" spans="1:3" ht="13" x14ac:dyDescent="0.15">
      <c r="A709">
        <v>32</v>
      </c>
      <c r="B709">
        <v>271212000</v>
      </c>
      <c r="C709">
        <v>5</v>
      </c>
    </row>
    <row r="710" spans="1:3" ht="13" x14ac:dyDescent="0.15">
      <c r="A710">
        <v>32</v>
      </c>
      <c r="B710">
        <v>271213000</v>
      </c>
      <c r="C710">
        <v>3</v>
      </c>
    </row>
    <row r="711" spans="1:3" ht="13" x14ac:dyDescent="0.15">
      <c r="A711">
        <v>32</v>
      </c>
      <c r="B711">
        <v>271215000</v>
      </c>
      <c r="C711">
        <v>1</v>
      </c>
    </row>
    <row r="712" spans="1:3" ht="13" x14ac:dyDescent="0.15">
      <c r="A712">
        <v>32</v>
      </c>
      <c r="B712">
        <v>271216000</v>
      </c>
      <c r="C712">
        <v>2</v>
      </c>
    </row>
    <row r="713" spans="1:3" ht="13" x14ac:dyDescent="0.15">
      <c r="A713">
        <v>32</v>
      </c>
      <c r="B713">
        <v>271221000</v>
      </c>
      <c r="C713">
        <v>2</v>
      </c>
    </row>
    <row r="714" spans="1:3" ht="13" x14ac:dyDescent="0.15">
      <c r="A714">
        <v>32</v>
      </c>
      <c r="B714">
        <v>271244000</v>
      </c>
      <c r="C714">
        <v>3</v>
      </c>
    </row>
    <row r="715" spans="1:3" ht="13" x14ac:dyDescent="0.15">
      <c r="A715">
        <v>32</v>
      </c>
      <c r="B715">
        <v>271259000</v>
      </c>
      <c r="C715">
        <v>1</v>
      </c>
    </row>
    <row r="716" spans="1:3" ht="13" x14ac:dyDescent="0.15">
      <c r="A716">
        <v>32</v>
      </c>
      <c r="B716">
        <v>271260000</v>
      </c>
      <c r="C716">
        <v>1</v>
      </c>
    </row>
    <row r="717" spans="1:3" ht="13" x14ac:dyDescent="0.15">
      <c r="A717">
        <v>32</v>
      </c>
      <c r="B717">
        <v>271301000</v>
      </c>
      <c r="C717">
        <v>1</v>
      </c>
    </row>
    <row r="718" spans="1:3" ht="13" x14ac:dyDescent="0.15">
      <c r="A718">
        <v>32</v>
      </c>
      <c r="B718">
        <v>271453000</v>
      </c>
      <c r="C718">
        <v>2</v>
      </c>
    </row>
    <row r="719" spans="1:3" ht="13" x14ac:dyDescent="0.15">
      <c r="A719">
        <v>32</v>
      </c>
      <c r="B719">
        <v>271503000</v>
      </c>
      <c r="C719">
        <v>2</v>
      </c>
    </row>
    <row r="720" spans="1:3" ht="13" x14ac:dyDescent="0.15">
      <c r="A720">
        <v>32</v>
      </c>
      <c r="B720">
        <v>271512000</v>
      </c>
      <c r="C720">
        <v>5</v>
      </c>
    </row>
    <row r="721" spans="1:3" ht="13" x14ac:dyDescent="0.15">
      <c r="A721">
        <v>32</v>
      </c>
      <c r="B721">
        <v>271513000</v>
      </c>
      <c r="C721">
        <v>1</v>
      </c>
    </row>
    <row r="722" spans="1:3" ht="13" x14ac:dyDescent="0.15">
      <c r="A722">
        <v>32</v>
      </c>
      <c r="B722">
        <v>271608000</v>
      </c>
      <c r="C722">
        <v>1</v>
      </c>
    </row>
    <row r="723" spans="1:3" ht="13" x14ac:dyDescent="0.15">
      <c r="A723">
        <v>34</v>
      </c>
      <c r="B723">
        <v>270204000</v>
      </c>
      <c r="C723">
        <v>3</v>
      </c>
    </row>
    <row r="724" spans="1:3" ht="13" x14ac:dyDescent="0.15">
      <c r="A724">
        <v>34</v>
      </c>
      <c r="B724">
        <v>270217000</v>
      </c>
      <c r="C724">
        <v>2</v>
      </c>
    </row>
    <row r="725" spans="1:3" ht="13" x14ac:dyDescent="0.15">
      <c r="A725">
        <v>34</v>
      </c>
      <c r="B725">
        <v>270304000</v>
      </c>
      <c r="C725">
        <v>4</v>
      </c>
    </row>
    <row r="726" spans="1:3" ht="13" x14ac:dyDescent="0.15">
      <c r="A726">
        <v>34</v>
      </c>
      <c r="B726">
        <v>270310000</v>
      </c>
      <c r="C726">
        <v>1</v>
      </c>
    </row>
    <row r="727" spans="1:3" ht="13" x14ac:dyDescent="0.15">
      <c r="A727">
        <v>34</v>
      </c>
      <c r="B727">
        <v>270316000</v>
      </c>
      <c r="C727">
        <v>2</v>
      </c>
    </row>
    <row r="728" spans="1:3" ht="13" x14ac:dyDescent="0.15">
      <c r="A728">
        <v>34</v>
      </c>
      <c r="B728">
        <v>270328000</v>
      </c>
      <c r="C728">
        <v>4</v>
      </c>
    </row>
    <row r="729" spans="1:3" ht="13" x14ac:dyDescent="0.15">
      <c r="A729">
        <v>34</v>
      </c>
      <c r="B729">
        <v>270330000</v>
      </c>
      <c r="C729">
        <v>2</v>
      </c>
    </row>
    <row r="730" spans="1:3" ht="13" x14ac:dyDescent="0.15">
      <c r="A730">
        <v>34</v>
      </c>
      <c r="B730">
        <v>270403000</v>
      </c>
      <c r="C730">
        <v>2</v>
      </c>
    </row>
    <row r="731" spans="1:3" ht="13" x14ac:dyDescent="0.15">
      <c r="A731">
        <v>34</v>
      </c>
      <c r="B731">
        <v>270412000</v>
      </c>
      <c r="C731">
        <v>4</v>
      </c>
    </row>
    <row r="732" spans="1:3" ht="13" x14ac:dyDescent="0.15">
      <c r="A732">
        <v>34</v>
      </c>
      <c r="B732">
        <v>270413000</v>
      </c>
      <c r="C732">
        <v>1</v>
      </c>
    </row>
    <row r="733" spans="1:3" ht="13" x14ac:dyDescent="0.15">
      <c r="A733">
        <v>34</v>
      </c>
      <c r="B733">
        <v>270710000</v>
      </c>
      <c r="C733">
        <v>6</v>
      </c>
    </row>
    <row r="734" spans="1:3" ht="13" x14ac:dyDescent="0.15">
      <c r="A734">
        <v>34</v>
      </c>
      <c r="B734">
        <v>270716000</v>
      </c>
      <c r="C734">
        <v>2</v>
      </c>
    </row>
    <row r="735" spans="1:3" ht="13" x14ac:dyDescent="0.15">
      <c r="A735">
        <v>34</v>
      </c>
      <c r="B735">
        <v>270801000</v>
      </c>
      <c r="C735">
        <v>2</v>
      </c>
    </row>
    <row r="736" spans="1:3" ht="13" x14ac:dyDescent="0.15">
      <c r="A736">
        <v>34</v>
      </c>
      <c r="B736">
        <v>270803000</v>
      </c>
      <c r="C736">
        <v>5</v>
      </c>
    </row>
    <row r="737" spans="1:3" ht="13" x14ac:dyDescent="0.15">
      <c r="A737">
        <v>34</v>
      </c>
      <c r="B737">
        <v>270805000</v>
      </c>
      <c r="C737">
        <v>4</v>
      </c>
    </row>
    <row r="738" spans="1:3" ht="13" x14ac:dyDescent="0.15">
      <c r="A738">
        <v>34</v>
      </c>
      <c r="B738">
        <v>270806000</v>
      </c>
      <c r="C738">
        <v>2</v>
      </c>
    </row>
    <row r="739" spans="1:3" ht="13" x14ac:dyDescent="0.15">
      <c r="A739">
        <v>34</v>
      </c>
      <c r="B739">
        <v>270810000</v>
      </c>
      <c r="C739">
        <v>3</v>
      </c>
    </row>
    <row r="740" spans="1:3" ht="13" x14ac:dyDescent="0.15">
      <c r="A740">
        <v>34</v>
      </c>
      <c r="B740">
        <v>270905000</v>
      </c>
      <c r="C740">
        <v>1</v>
      </c>
    </row>
    <row r="741" spans="1:3" ht="13" x14ac:dyDescent="0.15">
      <c r="A741">
        <v>34</v>
      </c>
      <c r="B741">
        <v>270906000</v>
      </c>
      <c r="C741">
        <v>2</v>
      </c>
    </row>
    <row r="742" spans="1:3" ht="13" x14ac:dyDescent="0.15">
      <c r="A742">
        <v>34</v>
      </c>
      <c r="B742">
        <v>270910000</v>
      </c>
      <c r="C742">
        <v>1</v>
      </c>
    </row>
    <row r="743" spans="1:3" ht="13" x14ac:dyDescent="0.15">
      <c r="A743">
        <v>34</v>
      </c>
      <c r="B743">
        <v>270926000</v>
      </c>
      <c r="C743">
        <v>10</v>
      </c>
    </row>
    <row r="744" spans="1:3" ht="13" x14ac:dyDescent="0.15">
      <c r="A744">
        <v>34</v>
      </c>
      <c r="B744">
        <v>271002000</v>
      </c>
      <c r="C744">
        <v>1</v>
      </c>
    </row>
    <row r="745" spans="1:3" ht="13" x14ac:dyDescent="0.15">
      <c r="A745">
        <v>34</v>
      </c>
      <c r="B745">
        <v>271005000</v>
      </c>
      <c r="C745">
        <v>4</v>
      </c>
    </row>
    <row r="746" spans="1:3" ht="13" x14ac:dyDescent="0.15">
      <c r="A746">
        <v>34</v>
      </c>
      <c r="B746">
        <v>271006000</v>
      </c>
      <c r="C746">
        <v>3</v>
      </c>
    </row>
    <row r="747" spans="1:3" ht="13" x14ac:dyDescent="0.15">
      <c r="A747">
        <v>34</v>
      </c>
      <c r="B747">
        <v>271008000</v>
      </c>
      <c r="C747">
        <v>1</v>
      </c>
    </row>
    <row r="748" spans="1:3" ht="13" x14ac:dyDescent="0.15">
      <c r="A748">
        <v>34</v>
      </c>
      <c r="B748">
        <v>271010000</v>
      </c>
      <c r="C748">
        <v>4</v>
      </c>
    </row>
    <row r="749" spans="1:3" ht="13" x14ac:dyDescent="0.15">
      <c r="A749">
        <v>34</v>
      </c>
      <c r="B749">
        <v>271011000</v>
      </c>
      <c r="C749">
        <v>4</v>
      </c>
    </row>
    <row r="750" spans="1:3" ht="13" x14ac:dyDescent="0.15">
      <c r="A750">
        <v>34</v>
      </c>
      <c r="B750">
        <v>271020000</v>
      </c>
      <c r="C750">
        <v>3</v>
      </c>
    </row>
    <row r="751" spans="1:3" ht="13" x14ac:dyDescent="0.15">
      <c r="A751">
        <v>34</v>
      </c>
      <c r="B751">
        <v>271021000</v>
      </c>
      <c r="C751">
        <v>5</v>
      </c>
    </row>
    <row r="752" spans="1:3" ht="13" x14ac:dyDescent="0.15">
      <c r="A752">
        <v>34</v>
      </c>
      <c r="B752">
        <v>271059000</v>
      </c>
      <c r="C752">
        <v>10</v>
      </c>
    </row>
    <row r="753" spans="1:3" ht="13" x14ac:dyDescent="0.15">
      <c r="A753">
        <v>34</v>
      </c>
      <c r="B753">
        <v>271074000</v>
      </c>
      <c r="C753">
        <v>4</v>
      </c>
    </row>
    <row r="754" spans="1:3" ht="13" x14ac:dyDescent="0.15">
      <c r="A754">
        <v>34</v>
      </c>
      <c r="B754">
        <v>271206000</v>
      </c>
      <c r="C754">
        <v>11</v>
      </c>
    </row>
    <row r="755" spans="1:3" ht="13" x14ac:dyDescent="0.15">
      <c r="A755">
        <v>34</v>
      </c>
      <c r="B755">
        <v>271207000</v>
      </c>
      <c r="C755">
        <v>13</v>
      </c>
    </row>
    <row r="756" spans="1:3" ht="13" x14ac:dyDescent="0.15">
      <c r="A756">
        <v>34</v>
      </c>
      <c r="B756">
        <v>271214000</v>
      </c>
      <c r="C756">
        <v>4</v>
      </c>
    </row>
    <row r="757" spans="1:3" ht="13" x14ac:dyDescent="0.15">
      <c r="A757">
        <v>34</v>
      </c>
      <c r="B757">
        <v>271215000</v>
      </c>
      <c r="C757">
        <v>8</v>
      </c>
    </row>
    <row r="758" spans="1:3" ht="13" x14ac:dyDescent="0.15">
      <c r="A758">
        <v>34</v>
      </c>
      <c r="B758">
        <v>271221000</v>
      </c>
      <c r="C758">
        <v>2</v>
      </c>
    </row>
    <row r="759" spans="1:3" ht="13" x14ac:dyDescent="0.15">
      <c r="A759">
        <v>34</v>
      </c>
      <c r="B759">
        <v>271259000</v>
      </c>
      <c r="C759">
        <v>1</v>
      </c>
    </row>
    <row r="760" spans="1:3" ht="13" x14ac:dyDescent="0.15">
      <c r="A760">
        <v>34</v>
      </c>
      <c r="B760">
        <v>271302000</v>
      </c>
      <c r="C760">
        <v>1</v>
      </c>
    </row>
    <row r="761" spans="1:3" ht="13" x14ac:dyDescent="0.15">
      <c r="A761">
        <v>34</v>
      </c>
      <c r="B761">
        <v>271455000</v>
      </c>
      <c r="C761">
        <v>3</v>
      </c>
    </row>
    <row r="762" spans="1:3" ht="13" x14ac:dyDescent="0.15">
      <c r="A762">
        <v>34</v>
      </c>
      <c r="B762">
        <v>271503000</v>
      </c>
      <c r="C762">
        <v>6</v>
      </c>
    </row>
    <row r="763" spans="1:3" ht="13" x14ac:dyDescent="0.15">
      <c r="A763">
        <v>34</v>
      </c>
      <c r="B763">
        <v>271512000</v>
      </c>
      <c r="C763">
        <v>8</v>
      </c>
    </row>
    <row r="764" spans="1:3" ht="13" x14ac:dyDescent="0.15">
      <c r="A764">
        <v>34</v>
      </c>
      <c r="B764">
        <v>271513000</v>
      </c>
      <c r="C764">
        <v>3</v>
      </c>
    </row>
    <row r="765" spans="1:3" ht="13" x14ac:dyDescent="0.15">
      <c r="A765">
        <v>34</v>
      </c>
      <c r="B765">
        <v>271514000</v>
      </c>
      <c r="C765">
        <v>2</v>
      </c>
    </row>
    <row r="766" spans="1:3" ht="13" x14ac:dyDescent="0.15">
      <c r="A766">
        <v>34</v>
      </c>
      <c r="B766">
        <v>271612000</v>
      </c>
      <c r="C766">
        <v>3</v>
      </c>
    </row>
    <row r="767" spans="1:3" ht="13" x14ac:dyDescent="0.15">
      <c r="A767">
        <v>40</v>
      </c>
      <c r="B767">
        <v>270122000</v>
      </c>
      <c r="C767">
        <v>2</v>
      </c>
    </row>
    <row r="768" spans="1:3" ht="13" x14ac:dyDescent="0.15">
      <c r="A768">
        <v>40</v>
      </c>
      <c r="B768">
        <v>270140000</v>
      </c>
      <c r="C768">
        <v>3</v>
      </c>
    </row>
    <row r="769" spans="1:3" ht="13" x14ac:dyDescent="0.15">
      <c r="A769">
        <v>40</v>
      </c>
      <c r="B769">
        <v>270274000</v>
      </c>
      <c r="C769">
        <v>1</v>
      </c>
    </row>
    <row r="770" spans="1:3" ht="13" x14ac:dyDescent="0.15">
      <c r="A770">
        <v>40</v>
      </c>
      <c r="B770">
        <v>270275000</v>
      </c>
      <c r="C770">
        <v>1</v>
      </c>
    </row>
    <row r="771" spans="1:3" ht="13" x14ac:dyDescent="0.15">
      <c r="A771">
        <v>40</v>
      </c>
      <c r="B771">
        <v>270276000</v>
      </c>
      <c r="C771">
        <v>3</v>
      </c>
    </row>
    <row r="772" spans="1:3" ht="13" x14ac:dyDescent="0.15">
      <c r="A772">
        <v>40</v>
      </c>
      <c r="B772">
        <v>270277000</v>
      </c>
      <c r="C772">
        <v>1</v>
      </c>
    </row>
    <row r="773" spans="1:3" ht="13" x14ac:dyDescent="0.15">
      <c r="A773">
        <v>40</v>
      </c>
      <c r="B773">
        <v>270285000</v>
      </c>
      <c r="C773">
        <v>1</v>
      </c>
    </row>
    <row r="774" spans="1:3" ht="13" x14ac:dyDescent="0.15">
      <c r="A774">
        <v>40</v>
      </c>
      <c r="B774">
        <v>270287000</v>
      </c>
      <c r="C774">
        <v>2</v>
      </c>
    </row>
    <row r="775" spans="1:3" ht="13" x14ac:dyDescent="0.15">
      <c r="A775">
        <v>40</v>
      </c>
      <c r="B775">
        <v>270290000</v>
      </c>
      <c r="C775">
        <v>1</v>
      </c>
    </row>
    <row r="776" spans="1:3" ht="13" x14ac:dyDescent="0.15">
      <c r="A776">
        <v>40</v>
      </c>
      <c r="B776">
        <v>270304000</v>
      </c>
      <c r="C776">
        <v>2</v>
      </c>
    </row>
    <row r="777" spans="1:3" ht="13" x14ac:dyDescent="0.15">
      <c r="A777">
        <v>40</v>
      </c>
      <c r="B777">
        <v>270310000</v>
      </c>
      <c r="C777">
        <v>1</v>
      </c>
    </row>
    <row r="778" spans="1:3" ht="13" x14ac:dyDescent="0.15">
      <c r="A778">
        <v>40</v>
      </c>
      <c r="B778">
        <v>270316000</v>
      </c>
      <c r="C778">
        <v>3</v>
      </c>
    </row>
    <row r="779" spans="1:3" ht="13" x14ac:dyDescent="0.15">
      <c r="A779">
        <v>40</v>
      </c>
      <c r="B779">
        <v>270328000</v>
      </c>
      <c r="C779">
        <v>3</v>
      </c>
    </row>
    <row r="780" spans="1:3" ht="13" x14ac:dyDescent="0.15">
      <c r="A780">
        <v>40</v>
      </c>
      <c r="B780">
        <v>270330000</v>
      </c>
      <c r="C780">
        <v>1</v>
      </c>
    </row>
    <row r="781" spans="1:3" ht="13" x14ac:dyDescent="0.15">
      <c r="A781">
        <v>40</v>
      </c>
      <c r="B781">
        <v>270389000</v>
      </c>
      <c r="C781">
        <v>1</v>
      </c>
    </row>
    <row r="782" spans="1:3" ht="13" x14ac:dyDescent="0.15">
      <c r="A782">
        <v>40</v>
      </c>
      <c r="B782">
        <v>270408000</v>
      </c>
      <c r="C782">
        <v>1</v>
      </c>
    </row>
    <row r="783" spans="1:3" ht="13" x14ac:dyDescent="0.15">
      <c r="A783">
        <v>40</v>
      </c>
      <c r="B783">
        <v>270412000</v>
      </c>
      <c r="C783">
        <v>8</v>
      </c>
    </row>
    <row r="784" spans="1:3" ht="13" x14ac:dyDescent="0.15">
      <c r="A784">
        <v>40</v>
      </c>
      <c r="B784">
        <v>270710000</v>
      </c>
      <c r="C784">
        <v>8</v>
      </c>
    </row>
    <row r="785" spans="1:3" ht="13" x14ac:dyDescent="0.15">
      <c r="A785">
        <v>40</v>
      </c>
      <c r="B785">
        <v>270716000</v>
      </c>
      <c r="C785">
        <v>4</v>
      </c>
    </row>
    <row r="786" spans="1:3" ht="13" x14ac:dyDescent="0.15">
      <c r="A786">
        <v>40</v>
      </c>
      <c r="B786">
        <v>270801000</v>
      </c>
      <c r="C786">
        <v>1</v>
      </c>
    </row>
    <row r="787" spans="1:3" ht="13" x14ac:dyDescent="0.15">
      <c r="A787">
        <v>40</v>
      </c>
      <c r="B787">
        <v>270803000</v>
      </c>
      <c r="C787">
        <v>2</v>
      </c>
    </row>
    <row r="788" spans="1:3" ht="13" x14ac:dyDescent="0.15">
      <c r="A788">
        <v>40</v>
      </c>
      <c r="B788">
        <v>270805000</v>
      </c>
      <c r="C788">
        <v>2</v>
      </c>
    </row>
    <row r="789" spans="1:3" ht="13" x14ac:dyDescent="0.15">
      <c r="A789">
        <v>40</v>
      </c>
      <c r="B789">
        <v>270810000</v>
      </c>
      <c r="C789">
        <v>2</v>
      </c>
    </row>
    <row r="790" spans="1:3" ht="13" x14ac:dyDescent="0.15">
      <c r="A790">
        <v>40</v>
      </c>
      <c r="B790">
        <v>270903000</v>
      </c>
      <c r="C790">
        <v>1</v>
      </c>
    </row>
    <row r="791" spans="1:3" ht="13" x14ac:dyDescent="0.15">
      <c r="A791">
        <v>40</v>
      </c>
      <c r="B791">
        <v>270904000</v>
      </c>
      <c r="C791">
        <v>1</v>
      </c>
    </row>
    <row r="792" spans="1:3" ht="13" x14ac:dyDescent="0.15">
      <c r="A792">
        <v>40</v>
      </c>
      <c r="B792">
        <v>270905000</v>
      </c>
      <c r="C792">
        <v>1</v>
      </c>
    </row>
    <row r="793" spans="1:3" ht="13" x14ac:dyDescent="0.15">
      <c r="A793">
        <v>40</v>
      </c>
      <c r="B793">
        <v>270926000</v>
      </c>
      <c r="C793">
        <v>10</v>
      </c>
    </row>
    <row r="794" spans="1:3" ht="13" x14ac:dyDescent="0.15">
      <c r="A794">
        <v>40</v>
      </c>
      <c r="B794">
        <v>271010000</v>
      </c>
      <c r="C794">
        <v>2</v>
      </c>
    </row>
    <row r="795" spans="1:3" ht="13" x14ac:dyDescent="0.15">
      <c r="A795">
        <v>40</v>
      </c>
      <c r="B795">
        <v>271011000</v>
      </c>
      <c r="C795">
        <v>3</v>
      </c>
    </row>
    <row r="796" spans="1:3" ht="13" x14ac:dyDescent="0.15">
      <c r="A796">
        <v>40</v>
      </c>
      <c r="B796">
        <v>271020000</v>
      </c>
      <c r="C796">
        <v>4</v>
      </c>
    </row>
    <row r="797" spans="1:3" ht="13" x14ac:dyDescent="0.15">
      <c r="A797">
        <v>40</v>
      </c>
      <c r="B797">
        <v>271021000</v>
      </c>
      <c r="C797">
        <v>1</v>
      </c>
    </row>
    <row r="798" spans="1:3" ht="13" x14ac:dyDescent="0.15">
      <c r="A798">
        <v>40</v>
      </c>
      <c r="B798">
        <v>271059000</v>
      </c>
      <c r="C798">
        <v>10</v>
      </c>
    </row>
    <row r="799" spans="1:3" ht="13" x14ac:dyDescent="0.15">
      <c r="A799">
        <v>40</v>
      </c>
      <c r="B799">
        <v>271074000</v>
      </c>
      <c r="C799">
        <v>1</v>
      </c>
    </row>
    <row r="800" spans="1:3" ht="13" x14ac:dyDescent="0.15">
      <c r="A800">
        <v>40</v>
      </c>
      <c r="B800">
        <v>271206000</v>
      </c>
      <c r="C800">
        <v>4</v>
      </c>
    </row>
    <row r="801" spans="1:3" ht="13" x14ac:dyDescent="0.15">
      <c r="A801">
        <v>40</v>
      </c>
      <c r="B801">
        <v>271207000</v>
      </c>
      <c r="C801">
        <v>5</v>
      </c>
    </row>
    <row r="802" spans="1:3" ht="13" x14ac:dyDescent="0.15">
      <c r="A802">
        <v>40</v>
      </c>
      <c r="B802">
        <v>271211000</v>
      </c>
      <c r="C802">
        <v>1</v>
      </c>
    </row>
    <row r="803" spans="1:3" ht="13" x14ac:dyDescent="0.15">
      <c r="A803">
        <v>40</v>
      </c>
      <c r="B803">
        <v>271212000</v>
      </c>
      <c r="C803">
        <v>1</v>
      </c>
    </row>
    <row r="804" spans="1:3" ht="13" x14ac:dyDescent="0.15">
      <c r="A804">
        <v>40</v>
      </c>
      <c r="B804">
        <v>271216000</v>
      </c>
      <c r="C804">
        <v>5</v>
      </c>
    </row>
    <row r="805" spans="1:3" ht="13" x14ac:dyDescent="0.15">
      <c r="A805">
        <v>40</v>
      </c>
      <c r="B805">
        <v>271221000</v>
      </c>
      <c r="C805">
        <v>3</v>
      </c>
    </row>
    <row r="806" spans="1:3" ht="13" x14ac:dyDescent="0.15">
      <c r="A806">
        <v>40</v>
      </c>
      <c r="B806">
        <v>271244000</v>
      </c>
      <c r="C806">
        <v>1</v>
      </c>
    </row>
    <row r="807" spans="1:3" ht="13" x14ac:dyDescent="0.15">
      <c r="A807">
        <v>40</v>
      </c>
      <c r="B807">
        <v>271259000</v>
      </c>
      <c r="C807">
        <v>1</v>
      </c>
    </row>
    <row r="808" spans="1:3" ht="13" x14ac:dyDescent="0.15">
      <c r="A808">
        <v>40</v>
      </c>
      <c r="B808">
        <v>271260000</v>
      </c>
      <c r="C808">
        <v>2</v>
      </c>
    </row>
    <row r="809" spans="1:3" ht="13" x14ac:dyDescent="0.15">
      <c r="A809">
        <v>40</v>
      </c>
      <c r="B809">
        <v>271301000</v>
      </c>
      <c r="C809">
        <v>1</v>
      </c>
    </row>
    <row r="810" spans="1:3" ht="13" x14ac:dyDescent="0.15">
      <c r="A810">
        <v>40</v>
      </c>
      <c r="B810">
        <v>271306000</v>
      </c>
      <c r="C810">
        <v>1</v>
      </c>
    </row>
    <row r="811" spans="1:3" ht="13" x14ac:dyDescent="0.15">
      <c r="A811">
        <v>40</v>
      </c>
      <c r="B811">
        <v>271455000</v>
      </c>
      <c r="C811">
        <v>1</v>
      </c>
    </row>
    <row r="812" spans="1:3" ht="13" x14ac:dyDescent="0.15">
      <c r="A812">
        <v>40</v>
      </c>
      <c r="B812">
        <v>271503000</v>
      </c>
      <c r="C812">
        <v>2</v>
      </c>
    </row>
    <row r="813" spans="1:3" ht="13" x14ac:dyDescent="0.15">
      <c r="A813">
        <v>40</v>
      </c>
      <c r="B813">
        <v>271513000</v>
      </c>
      <c r="C813">
        <v>1</v>
      </c>
    </row>
    <row r="814" spans="1:3" ht="13" x14ac:dyDescent="0.15">
      <c r="A814">
        <v>40</v>
      </c>
      <c r="B814">
        <v>271514000</v>
      </c>
      <c r="C814">
        <v>1</v>
      </c>
    </row>
    <row r="815" spans="1:3" ht="13" x14ac:dyDescent="0.15">
      <c r="A815">
        <v>40</v>
      </c>
      <c r="B815">
        <v>271606000</v>
      </c>
      <c r="C815">
        <v>1</v>
      </c>
    </row>
    <row r="816" spans="1:3" ht="13" x14ac:dyDescent="0.15">
      <c r="A816">
        <v>40</v>
      </c>
      <c r="B816">
        <v>271608000</v>
      </c>
      <c r="C816">
        <v>2</v>
      </c>
    </row>
    <row r="817" spans="1:3" ht="13" x14ac:dyDescent="0.15">
      <c r="A817">
        <v>44</v>
      </c>
      <c r="B817">
        <v>270140000</v>
      </c>
      <c r="C817">
        <v>4</v>
      </c>
    </row>
    <row r="818" spans="1:3" ht="13" x14ac:dyDescent="0.15">
      <c r="A818">
        <v>44</v>
      </c>
      <c r="B818">
        <v>270217000</v>
      </c>
      <c r="C818">
        <v>1</v>
      </c>
    </row>
    <row r="819" spans="1:3" ht="13" x14ac:dyDescent="0.15">
      <c r="A819">
        <v>44</v>
      </c>
      <c r="B819">
        <v>270310000</v>
      </c>
      <c r="C819">
        <v>1</v>
      </c>
    </row>
    <row r="820" spans="1:3" ht="13" x14ac:dyDescent="0.15">
      <c r="A820">
        <v>44</v>
      </c>
      <c r="B820">
        <v>270328000</v>
      </c>
      <c r="C820">
        <v>1</v>
      </c>
    </row>
    <row r="821" spans="1:3" ht="13" x14ac:dyDescent="0.15">
      <c r="A821">
        <v>44</v>
      </c>
      <c r="B821">
        <v>270330000</v>
      </c>
      <c r="C821">
        <v>1</v>
      </c>
    </row>
    <row r="822" spans="1:3" ht="13" x14ac:dyDescent="0.15">
      <c r="A822">
        <v>44</v>
      </c>
      <c r="B822">
        <v>270412000</v>
      </c>
      <c r="C822">
        <v>3</v>
      </c>
    </row>
    <row r="823" spans="1:3" ht="13" x14ac:dyDescent="0.15">
      <c r="A823">
        <v>44</v>
      </c>
      <c r="B823">
        <v>270710000</v>
      </c>
      <c r="C823">
        <v>1</v>
      </c>
    </row>
    <row r="824" spans="1:3" ht="13" x14ac:dyDescent="0.15">
      <c r="A824">
        <v>44</v>
      </c>
      <c r="B824">
        <v>270806000</v>
      </c>
      <c r="C824">
        <v>1</v>
      </c>
    </row>
    <row r="825" spans="1:3" ht="13" x14ac:dyDescent="0.15">
      <c r="A825">
        <v>44</v>
      </c>
      <c r="B825">
        <v>270810000</v>
      </c>
      <c r="C825">
        <v>2</v>
      </c>
    </row>
    <row r="826" spans="1:3" ht="13" x14ac:dyDescent="0.15">
      <c r="A826">
        <v>44</v>
      </c>
      <c r="B826">
        <v>270903000</v>
      </c>
      <c r="C826">
        <v>1</v>
      </c>
    </row>
    <row r="827" spans="1:3" ht="13" x14ac:dyDescent="0.15">
      <c r="A827">
        <v>44</v>
      </c>
      <c r="B827">
        <v>270926000</v>
      </c>
      <c r="C827">
        <v>3</v>
      </c>
    </row>
    <row r="828" spans="1:3" ht="13" x14ac:dyDescent="0.15">
      <c r="A828">
        <v>44</v>
      </c>
      <c r="B828">
        <v>271002000</v>
      </c>
      <c r="C828">
        <v>1</v>
      </c>
    </row>
    <row r="829" spans="1:3" ht="13" x14ac:dyDescent="0.15">
      <c r="A829">
        <v>44</v>
      </c>
      <c r="B829">
        <v>271008000</v>
      </c>
      <c r="C829">
        <v>1</v>
      </c>
    </row>
    <row r="830" spans="1:3" ht="13" x14ac:dyDescent="0.15">
      <c r="A830">
        <v>44</v>
      </c>
      <c r="B830">
        <v>271010000</v>
      </c>
      <c r="C830">
        <v>2</v>
      </c>
    </row>
    <row r="831" spans="1:3" ht="13" x14ac:dyDescent="0.15">
      <c r="A831">
        <v>44</v>
      </c>
      <c r="B831">
        <v>271011000</v>
      </c>
      <c r="C831">
        <v>2</v>
      </c>
    </row>
    <row r="832" spans="1:3" ht="13" x14ac:dyDescent="0.15">
      <c r="A832">
        <v>44</v>
      </c>
      <c r="B832">
        <v>271020000</v>
      </c>
      <c r="C832">
        <v>1</v>
      </c>
    </row>
    <row r="833" spans="1:3" ht="13" x14ac:dyDescent="0.15">
      <c r="A833">
        <v>44</v>
      </c>
      <c r="B833">
        <v>271059000</v>
      </c>
      <c r="C833">
        <v>4</v>
      </c>
    </row>
    <row r="834" spans="1:3" ht="13" x14ac:dyDescent="0.15">
      <c r="A834">
        <v>44</v>
      </c>
      <c r="B834">
        <v>271074000</v>
      </c>
      <c r="C834">
        <v>1</v>
      </c>
    </row>
    <row r="835" spans="1:3" ht="13" x14ac:dyDescent="0.15">
      <c r="A835">
        <v>44</v>
      </c>
      <c r="B835">
        <v>271206000</v>
      </c>
      <c r="C835">
        <v>5</v>
      </c>
    </row>
    <row r="836" spans="1:3" ht="13" x14ac:dyDescent="0.15">
      <c r="A836">
        <v>44</v>
      </c>
      <c r="B836">
        <v>271207000</v>
      </c>
      <c r="C836">
        <v>3</v>
      </c>
    </row>
    <row r="837" spans="1:3" ht="13" x14ac:dyDescent="0.15">
      <c r="A837">
        <v>44</v>
      </c>
      <c r="B837">
        <v>271214000</v>
      </c>
      <c r="C837">
        <v>1</v>
      </c>
    </row>
    <row r="838" spans="1:3" ht="13" x14ac:dyDescent="0.15">
      <c r="A838">
        <v>44</v>
      </c>
      <c r="B838">
        <v>271215000</v>
      </c>
      <c r="C838">
        <v>2</v>
      </c>
    </row>
    <row r="839" spans="1:3" ht="13" x14ac:dyDescent="0.15">
      <c r="A839">
        <v>44</v>
      </c>
      <c r="B839">
        <v>271221000</v>
      </c>
      <c r="C839">
        <v>1</v>
      </c>
    </row>
    <row r="840" spans="1:3" ht="13" x14ac:dyDescent="0.15">
      <c r="A840">
        <v>44</v>
      </c>
      <c r="B840">
        <v>271259000</v>
      </c>
      <c r="C840">
        <v>1</v>
      </c>
    </row>
    <row r="841" spans="1:3" ht="13" x14ac:dyDescent="0.15">
      <c r="A841">
        <v>46</v>
      </c>
      <c r="B841">
        <v>270122000</v>
      </c>
      <c r="C841">
        <v>1</v>
      </c>
    </row>
    <row r="842" spans="1:3" ht="13" x14ac:dyDescent="0.15">
      <c r="A842">
        <v>46</v>
      </c>
      <c r="B842">
        <v>270140000</v>
      </c>
      <c r="C842">
        <v>5</v>
      </c>
    </row>
    <row r="843" spans="1:3" ht="13" x14ac:dyDescent="0.15">
      <c r="A843">
        <v>46</v>
      </c>
      <c r="B843">
        <v>270204000</v>
      </c>
      <c r="C843">
        <v>2</v>
      </c>
    </row>
    <row r="844" spans="1:3" ht="13" x14ac:dyDescent="0.15">
      <c r="A844">
        <v>46</v>
      </c>
      <c r="B844">
        <v>270217000</v>
      </c>
      <c r="C844">
        <v>1</v>
      </c>
    </row>
    <row r="845" spans="1:3" ht="13" x14ac:dyDescent="0.15">
      <c r="A845">
        <v>46</v>
      </c>
      <c r="B845">
        <v>270304000</v>
      </c>
      <c r="C845">
        <v>1</v>
      </c>
    </row>
    <row r="846" spans="1:3" ht="13" x14ac:dyDescent="0.15">
      <c r="A846">
        <v>46</v>
      </c>
      <c r="B846">
        <v>270316000</v>
      </c>
      <c r="C846">
        <v>4</v>
      </c>
    </row>
    <row r="847" spans="1:3" ht="13" x14ac:dyDescent="0.15">
      <c r="A847">
        <v>46</v>
      </c>
      <c r="B847">
        <v>270328000</v>
      </c>
      <c r="C847">
        <v>8</v>
      </c>
    </row>
    <row r="848" spans="1:3" ht="13" x14ac:dyDescent="0.15">
      <c r="A848">
        <v>46</v>
      </c>
      <c r="B848">
        <v>270330000</v>
      </c>
      <c r="C848">
        <v>1</v>
      </c>
    </row>
    <row r="849" spans="1:3" ht="13" x14ac:dyDescent="0.15">
      <c r="A849">
        <v>46</v>
      </c>
      <c r="B849">
        <v>270408000</v>
      </c>
      <c r="C849">
        <v>1</v>
      </c>
    </row>
    <row r="850" spans="1:3" ht="13" x14ac:dyDescent="0.15">
      <c r="A850">
        <v>46</v>
      </c>
      <c r="B850">
        <v>270412000</v>
      </c>
      <c r="C850">
        <v>5</v>
      </c>
    </row>
    <row r="851" spans="1:3" ht="13" x14ac:dyDescent="0.15">
      <c r="A851">
        <v>46</v>
      </c>
      <c r="B851">
        <v>270710000</v>
      </c>
      <c r="C851">
        <v>13</v>
      </c>
    </row>
    <row r="852" spans="1:3" ht="13" x14ac:dyDescent="0.15">
      <c r="A852">
        <v>46</v>
      </c>
      <c r="B852">
        <v>270801000</v>
      </c>
      <c r="C852">
        <v>1</v>
      </c>
    </row>
    <row r="853" spans="1:3" ht="13" x14ac:dyDescent="0.15">
      <c r="A853">
        <v>46</v>
      </c>
      <c r="B853">
        <v>270803000</v>
      </c>
      <c r="C853">
        <v>2</v>
      </c>
    </row>
    <row r="854" spans="1:3" ht="13" x14ac:dyDescent="0.15">
      <c r="A854">
        <v>46</v>
      </c>
      <c r="B854">
        <v>270805000</v>
      </c>
      <c r="C854">
        <v>2</v>
      </c>
    </row>
    <row r="855" spans="1:3" ht="13" x14ac:dyDescent="0.15">
      <c r="A855">
        <v>46</v>
      </c>
      <c r="B855">
        <v>270810000</v>
      </c>
      <c r="C855">
        <v>6</v>
      </c>
    </row>
    <row r="856" spans="1:3" ht="13" x14ac:dyDescent="0.15">
      <c r="A856">
        <v>46</v>
      </c>
      <c r="B856">
        <v>270906000</v>
      </c>
      <c r="C856">
        <v>1</v>
      </c>
    </row>
    <row r="857" spans="1:3" ht="13" x14ac:dyDescent="0.15">
      <c r="A857">
        <v>46</v>
      </c>
      <c r="B857">
        <v>270910000</v>
      </c>
      <c r="C857">
        <v>2</v>
      </c>
    </row>
    <row r="858" spans="1:3" ht="13" x14ac:dyDescent="0.15">
      <c r="A858">
        <v>46</v>
      </c>
      <c r="B858">
        <v>270926000</v>
      </c>
      <c r="C858">
        <v>7</v>
      </c>
    </row>
    <row r="859" spans="1:3" ht="13" x14ac:dyDescent="0.15">
      <c r="A859">
        <v>46</v>
      </c>
      <c r="B859">
        <v>271001000</v>
      </c>
      <c r="C859">
        <v>1</v>
      </c>
    </row>
    <row r="860" spans="1:3" ht="13" x14ac:dyDescent="0.15">
      <c r="A860">
        <v>46</v>
      </c>
      <c r="B860">
        <v>271002000</v>
      </c>
      <c r="C860">
        <v>3</v>
      </c>
    </row>
    <row r="861" spans="1:3" ht="13" x14ac:dyDescent="0.15">
      <c r="A861">
        <v>46</v>
      </c>
      <c r="B861">
        <v>271005000</v>
      </c>
      <c r="C861">
        <v>2</v>
      </c>
    </row>
    <row r="862" spans="1:3" ht="13" x14ac:dyDescent="0.15">
      <c r="A862">
        <v>46</v>
      </c>
      <c r="B862">
        <v>271006000</v>
      </c>
      <c r="C862">
        <v>2</v>
      </c>
    </row>
    <row r="863" spans="1:3" ht="13" x14ac:dyDescent="0.15">
      <c r="A863">
        <v>46</v>
      </c>
      <c r="B863">
        <v>271008000</v>
      </c>
      <c r="C863">
        <v>2</v>
      </c>
    </row>
    <row r="864" spans="1:3" ht="13" x14ac:dyDescent="0.15">
      <c r="A864">
        <v>46</v>
      </c>
      <c r="B864">
        <v>271010000</v>
      </c>
      <c r="C864">
        <v>4</v>
      </c>
    </row>
    <row r="865" spans="1:3" ht="13" x14ac:dyDescent="0.15">
      <c r="A865">
        <v>46</v>
      </c>
      <c r="B865">
        <v>271011000</v>
      </c>
      <c r="C865">
        <v>3</v>
      </c>
    </row>
    <row r="866" spans="1:3" ht="13" x14ac:dyDescent="0.15">
      <c r="A866">
        <v>46</v>
      </c>
      <c r="B866">
        <v>271020000</v>
      </c>
      <c r="C866">
        <v>11</v>
      </c>
    </row>
    <row r="867" spans="1:3" ht="13" x14ac:dyDescent="0.15">
      <c r="A867">
        <v>46</v>
      </c>
      <c r="B867">
        <v>271021000</v>
      </c>
      <c r="C867">
        <v>2</v>
      </c>
    </row>
    <row r="868" spans="1:3" ht="13" x14ac:dyDescent="0.15">
      <c r="A868">
        <v>46</v>
      </c>
      <c r="B868">
        <v>271059000</v>
      </c>
      <c r="C868">
        <v>7</v>
      </c>
    </row>
    <row r="869" spans="1:3" ht="13" x14ac:dyDescent="0.15">
      <c r="A869">
        <v>46</v>
      </c>
      <c r="B869">
        <v>271074000</v>
      </c>
      <c r="C869">
        <v>4</v>
      </c>
    </row>
    <row r="870" spans="1:3" ht="13" x14ac:dyDescent="0.15">
      <c r="A870">
        <v>46</v>
      </c>
      <c r="B870">
        <v>271206000</v>
      </c>
      <c r="C870">
        <v>9</v>
      </c>
    </row>
    <row r="871" spans="1:3" ht="13" x14ac:dyDescent="0.15">
      <c r="A871">
        <v>46</v>
      </c>
      <c r="B871">
        <v>271207000</v>
      </c>
      <c r="C871">
        <v>10</v>
      </c>
    </row>
    <row r="872" spans="1:3" ht="13" x14ac:dyDescent="0.15">
      <c r="A872">
        <v>46</v>
      </c>
      <c r="B872">
        <v>271211000</v>
      </c>
      <c r="C872">
        <v>1</v>
      </c>
    </row>
    <row r="873" spans="1:3" ht="13" x14ac:dyDescent="0.15">
      <c r="A873">
        <v>46</v>
      </c>
      <c r="B873">
        <v>271212000</v>
      </c>
      <c r="C873">
        <v>3</v>
      </c>
    </row>
    <row r="874" spans="1:3" ht="13" x14ac:dyDescent="0.15">
      <c r="A874">
        <v>46</v>
      </c>
      <c r="B874">
        <v>271213000</v>
      </c>
      <c r="C874">
        <v>1</v>
      </c>
    </row>
    <row r="875" spans="1:3" ht="13" x14ac:dyDescent="0.15">
      <c r="A875">
        <v>46</v>
      </c>
      <c r="B875">
        <v>271214000</v>
      </c>
      <c r="C875">
        <v>6</v>
      </c>
    </row>
    <row r="876" spans="1:3" ht="13" x14ac:dyDescent="0.15">
      <c r="A876">
        <v>46</v>
      </c>
      <c r="B876">
        <v>271215000</v>
      </c>
      <c r="C876">
        <v>2</v>
      </c>
    </row>
    <row r="877" spans="1:3" ht="13" x14ac:dyDescent="0.15">
      <c r="A877">
        <v>46</v>
      </c>
      <c r="B877">
        <v>271221000</v>
      </c>
      <c r="C877">
        <v>1</v>
      </c>
    </row>
    <row r="878" spans="1:3" ht="13" x14ac:dyDescent="0.15">
      <c r="A878">
        <v>46</v>
      </c>
      <c r="B878">
        <v>271244000</v>
      </c>
      <c r="C878">
        <v>10</v>
      </c>
    </row>
    <row r="879" spans="1:3" ht="13" x14ac:dyDescent="0.15">
      <c r="A879">
        <v>46</v>
      </c>
      <c r="B879">
        <v>271259000</v>
      </c>
      <c r="C879">
        <v>1</v>
      </c>
    </row>
    <row r="880" spans="1:3" ht="13" x14ac:dyDescent="0.15">
      <c r="A880">
        <v>46</v>
      </c>
      <c r="B880">
        <v>271260000</v>
      </c>
      <c r="C880">
        <v>1</v>
      </c>
    </row>
    <row r="881" spans="1:3" ht="13" x14ac:dyDescent="0.15">
      <c r="A881">
        <v>46</v>
      </c>
      <c r="B881">
        <v>271301000</v>
      </c>
      <c r="C881">
        <v>1</v>
      </c>
    </row>
    <row r="882" spans="1:3" ht="13" x14ac:dyDescent="0.15">
      <c r="A882">
        <v>46</v>
      </c>
      <c r="B882">
        <v>271302000</v>
      </c>
      <c r="C882">
        <v>1</v>
      </c>
    </row>
    <row r="883" spans="1:3" ht="13" x14ac:dyDescent="0.15">
      <c r="A883">
        <v>46</v>
      </c>
      <c r="B883">
        <v>271306000</v>
      </c>
      <c r="C883">
        <v>2</v>
      </c>
    </row>
    <row r="884" spans="1:3" ht="13" x14ac:dyDescent="0.15">
      <c r="A884">
        <v>46</v>
      </c>
      <c r="B884">
        <v>271453000</v>
      </c>
      <c r="C884">
        <v>1</v>
      </c>
    </row>
    <row r="885" spans="1:3" ht="13" x14ac:dyDescent="0.15">
      <c r="A885">
        <v>46</v>
      </c>
      <c r="B885">
        <v>271454000</v>
      </c>
      <c r="C885">
        <v>1</v>
      </c>
    </row>
    <row r="886" spans="1:3" ht="13" x14ac:dyDescent="0.15">
      <c r="A886">
        <v>46</v>
      </c>
      <c r="B886">
        <v>271455000</v>
      </c>
      <c r="C886">
        <v>1</v>
      </c>
    </row>
    <row r="887" spans="1:3" ht="13" x14ac:dyDescent="0.15">
      <c r="A887">
        <v>46</v>
      </c>
      <c r="B887">
        <v>271503000</v>
      </c>
      <c r="C887">
        <v>1</v>
      </c>
    </row>
    <row r="888" spans="1:3" ht="13" x14ac:dyDescent="0.15">
      <c r="A888">
        <v>46</v>
      </c>
      <c r="B888">
        <v>271513000</v>
      </c>
      <c r="C888">
        <v>1</v>
      </c>
    </row>
    <row r="889" spans="1:3" ht="13" x14ac:dyDescent="0.15">
      <c r="A889">
        <v>46</v>
      </c>
      <c r="B889">
        <v>271514000</v>
      </c>
      <c r="C889">
        <v>1</v>
      </c>
    </row>
    <row r="890" spans="1:3" ht="13" x14ac:dyDescent="0.15">
      <c r="A890">
        <v>46</v>
      </c>
      <c r="B890">
        <v>271604000</v>
      </c>
      <c r="C890">
        <v>1</v>
      </c>
    </row>
    <row r="891" spans="1:3" ht="13" x14ac:dyDescent="0.15">
      <c r="A891">
        <v>46</v>
      </c>
      <c r="B891">
        <v>271609000</v>
      </c>
      <c r="C891">
        <v>1</v>
      </c>
    </row>
    <row r="892" spans="1:3" ht="13" x14ac:dyDescent="0.15">
      <c r="A892">
        <v>46</v>
      </c>
      <c r="B892">
        <v>277143000</v>
      </c>
      <c r="C892">
        <v>1</v>
      </c>
    </row>
    <row r="893" spans="1:3" ht="13" x14ac:dyDescent="0.15">
      <c r="A893">
        <v>47</v>
      </c>
      <c r="B893">
        <v>270122000</v>
      </c>
      <c r="C893">
        <v>1</v>
      </c>
    </row>
    <row r="894" spans="1:3" ht="13" x14ac:dyDescent="0.15">
      <c r="A894">
        <v>47</v>
      </c>
      <c r="B894">
        <v>270140000</v>
      </c>
      <c r="C894">
        <v>4</v>
      </c>
    </row>
    <row r="895" spans="1:3" ht="13" x14ac:dyDescent="0.15">
      <c r="A895">
        <v>47</v>
      </c>
      <c r="B895">
        <v>270303000</v>
      </c>
      <c r="C895">
        <v>1</v>
      </c>
    </row>
    <row r="896" spans="1:3" ht="13" x14ac:dyDescent="0.15">
      <c r="A896">
        <v>47</v>
      </c>
      <c r="B896">
        <v>270304000</v>
      </c>
      <c r="C896">
        <v>1</v>
      </c>
    </row>
    <row r="897" spans="1:3" ht="13" x14ac:dyDescent="0.15">
      <c r="A897">
        <v>47</v>
      </c>
      <c r="B897">
        <v>270316000</v>
      </c>
      <c r="C897">
        <v>4</v>
      </c>
    </row>
    <row r="898" spans="1:3" ht="13" x14ac:dyDescent="0.15">
      <c r="A898">
        <v>47</v>
      </c>
      <c r="B898">
        <v>270328000</v>
      </c>
      <c r="C898">
        <v>2</v>
      </c>
    </row>
    <row r="899" spans="1:3" ht="13" x14ac:dyDescent="0.15">
      <c r="A899">
        <v>47</v>
      </c>
      <c r="B899">
        <v>270330000</v>
      </c>
      <c r="C899">
        <v>1</v>
      </c>
    </row>
    <row r="900" spans="1:3" ht="13" x14ac:dyDescent="0.15">
      <c r="A900">
        <v>47</v>
      </c>
      <c r="B900">
        <v>270403000</v>
      </c>
      <c r="C900">
        <v>3</v>
      </c>
    </row>
    <row r="901" spans="1:3" ht="13" x14ac:dyDescent="0.15">
      <c r="A901">
        <v>47</v>
      </c>
      <c r="B901">
        <v>270408000</v>
      </c>
      <c r="C901">
        <v>1</v>
      </c>
    </row>
    <row r="902" spans="1:3" ht="13" x14ac:dyDescent="0.15">
      <c r="A902">
        <v>47</v>
      </c>
      <c r="B902">
        <v>270413000</v>
      </c>
      <c r="C902">
        <v>1</v>
      </c>
    </row>
    <row r="903" spans="1:3" ht="13" x14ac:dyDescent="0.15">
      <c r="A903">
        <v>47</v>
      </c>
      <c r="B903">
        <v>270710000</v>
      </c>
      <c r="C903">
        <v>5</v>
      </c>
    </row>
    <row r="904" spans="1:3" ht="13" x14ac:dyDescent="0.15">
      <c r="A904">
        <v>47</v>
      </c>
      <c r="B904">
        <v>270801000</v>
      </c>
      <c r="C904">
        <v>2</v>
      </c>
    </row>
    <row r="905" spans="1:3" ht="13" x14ac:dyDescent="0.15">
      <c r="A905">
        <v>47</v>
      </c>
      <c r="B905">
        <v>270803000</v>
      </c>
      <c r="C905">
        <v>3</v>
      </c>
    </row>
    <row r="906" spans="1:3" ht="13" x14ac:dyDescent="0.15">
      <c r="A906">
        <v>47</v>
      </c>
      <c r="B906">
        <v>270805000</v>
      </c>
      <c r="C906">
        <v>2</v>
      </c>
    </row>
    <row r="907" spans="1:3" ht="13" x14ac:dyDescent="0.15">
      <c r="A907">
        <v>47</v>
      </c>
      <c r="B907">
        <v>270810000</v>
      </c>
      <c r="C907">
        <v>4</v>
      </c>
    </row>
    <row r="908" spans="1:3" ht="13" x14ac:dyDescent="0.15">
      <c r="A908">
        <v>47</v>
      </c>
      <c r="B908">
        <v>270903000</v>
      </c>
      <c r="C908">
        <v>3</v>
      </c>
    </row>
    <row r="909" spans="1:3" ht="13" x14ac:dyDescent="0.15">
      <c r="A909">
        <v>47</v>
      </c>
      <c r="B909">
        <v>270906000</v>
      </c>
      <c r="C909">
        <v>1</v>
      </c>
    </row>
    <row r="910" spans="1:3" ht="13" x14ac:dyDescent="0.15">
      <c r="A910">
        <v>47</v>
      </c>
      <c r="B910">
        <v>270910000</v>
      </c>
      <c r="C910">
        <v>1</v>
      </c>
    </row>
    <row r="911" spans="1:3" ht="13" x14ac:dyDescent="0.15">
      <c r="A911">
        <v>47</v>
      </c>
      <c r="B911">
        <v>270926000</v>
      </c>
      <c r="C911">
        <v>4</v>
      </c>
    </row>
    <row r="912" spans="1:3" ht="13" x14ac:dyDescent="0.15">
      <c r="A912">
        <v>47</v>
      </c>
      <c r="B912">
        <v>271002000</v>
      </c>
      <c r="C912">
        <v>1</v>
      </c>
    </row>
    <row r="913" spans="1:3" ht="13" x14ac:dyDescent="0.15">
      <c r="A913">
        <v>47</v>
      </c>
      <c r="B913">
        <v>271005000</v>
      </c>
      <c r="C913">
        <v>1</v>
      </c>
    </row>
    <row r="914" spans="1:3" ht="13" x14ac:dyDescent="0.15">
      <c r="A914">
        <v>47</v>
      </c>
      <c r="B914">
        <v>271008000</v>
      </c>
      <c r="C914">
        <v>1</v>
      </c>
    </row>
    <row r="915" spans="1:3" ht="13" x14ac:dyDescent="0.15">
      <c r="A915">
        <v>47</v>
      </c>
      <c r="B915">
        <v>271010000</v>
      </c>
      <c r="C915">
        <v>2</v>
      </c>
    </row>
    <row r="916" spans="1:3" ht="13" x14ac:dyDescent="0.15">
      <c r="A916">
        <v>47</v>
      </c>
      <c r="B916">
        <v>271011000</v>
      </c>
      <c r="C916">
        <v>4</v>
      </c>
    </row>
    <row r="917" spans="1:3" ht="13" x14ac:dyDescent="0.15">
      <c r="A917">
        <v>47</v>
      </c>
      <c r="B917">
        <v>271020000</v>
      </c>
      <c r="C917">
        <v>3</v>
      </c>
    </row>
    <row r="918" spans="1:3" ht="13" x14ac:dyDescent="0.15">
      <c r="A918">
        <v>47</v>
      </c>
      <c r="B918">
        <v>271021000</v>
      </c>
      <c r="C918">
        <v>2</v>
      </c>
    </row>
    <row r="919" spans="1:3" ht="13" x14ac:dyDescent="0.15">
      <c r="A919">
        <v>47</v>
      </c>
      <c r="B919">
        <v>271059000</v>
      </c>
      <c r="C919">
        <v>6</v>
      </c>
    </row>
    <row r="920" spans="1:3" ht="13" x14ac:dyDescent="0.15">
      <c r="A920">
        <v>47</v>
      </c>
      <c r="B920">
        <v>271074000</v>
      </c>
      <c r="C920">
        <v>1</v>
      </c>
    </row>
    <row r="921" spans="1:3" ht="13" x14ac:dyDescent="0.15">
      <c r="A921">
        <v>47</v>
      </c>
      <c r="B921">
        <v>271206000</v>
      </c>
      <c r="C921">
        <v>2</v>
      </c>
    </row>
    <row r="922" spans="1:3" ht="13" x14ac:dyDescent="0.15">
      <c r="A922">
        <v>47</v>
      </c>
      <c r="B922">
        <v>271207000</v>
      </c>
      <c r="C922">
        <v>6</v>
      </c>
    </row>
    <row r="923" spans="1:3" ht="13" x14ac:dyDescent="0.15">
      <c r="A923">
        <v>47</v>
      </c>
      <c r="B923">
        <v>271212000</v>
      </c>
      <c r="C923">
        <v>1</v>
      </c>
    </row>
    <row r="924" spans="1:3" ht="13" x14ac:dyDescent="0.15">
      <c r="A924">
        <v>47</v>
      </c>
      <c r="B924">
        <v>271213000</v>
      </c>
      <c r="C924">
        <v>2</v>
      </c>
    </row>
    <row r="925" spans="1:3" ht="13" x14ac:dyDescent="0.15">
      <c r="A925">
        <v>47</v>
      </c>
      <c r="B925">
        <v>271214000</v>
      </c>
      <c r="C925">
        <v>4</v>
      </c>
    </row>
    <row r="926" spans="1:3" ht="13" x14ac:dyDescent="0.15">
      <c r="A926">
        <v>47</v>
      </c>
      <c r="B926">
        <v>271215000</v>
      </c>
      <c r="C926">
        <v>2</v>
      </c>
    </row>
    <row r="927" spans="1:3" ht="13" x14ac:dyDescent="0.15">
      <c r="A927">
        <v>47</v>
      </c>
      <c r="B927">
        <v>271221000</v>
      </c>
      <c r="C927">
        <v>1</v>
      </c>
    </row>
    <row r="928" spans="1:3" ht="13" x14ac:dyDescent="0.15">
      <c r="A928">
        <v>47</v>
      </c>
      <c r="B928">
        <v>271260000</v>
      </c>
      <c r="C928">
        <v>1</v>
      </c>
    </row>
    <row r="929" spans="1:3" ht="13" x14ac:dyDescent="0.15">
      <c r="A929">
        <v>47</v>
      </c>
      <c r="B929">
        <v>271302000</v>
      </c>
      <c r="C929">
        <v>1</v>
      </c>
    </row>
    <row r="930" spans="1:3" ht="13" x14ac:dyDescent="0.15">
      <c r="A930">
        <v>47</v>
      </c>
      <c r="B930">
        <v>271454000</v>
      </c>
      <c r="C930">
        <v>1</v>
      </c>
    </row>
    <row r="931" spans="1:3" ht="13" x14ac:dyDescent="0.15">
      <c r="A931">
        <v>47</v>
      </c>
      <c r="B931">
        <v>271503000</v>
      </c>
      <c r="C931">
        <v>1</v>
      </c>
    </row>
    <row r="932" spans="1:3" ht="13" x14ac:dyDescent="0.15">
      <c r="A932">
        <v>47</v>
      </c>
      <c r="B932">
        <v>271513000</v>
      </c>
      <c r="C932">
        <v>1</v>
      </c>
    </row>
    <row r="933" spans="1:3" ht="13" x14ac:dyDescent="0.15">
      <c r="A933">
        <v>47</v>
      </c>
      <c r="B933">
        <v>271514000</v>
      </c>
      <c r="C933">
        <v>1</v>
      </c>
    </row>
    <row r="934" spans="1:3" ht="13" x14ac:dyDescent="0.15">
      <c r="A934">
        <v>47</v>
      </c>
      <c r="B934">
        <v>271606000</v>
      </c>
      <c r="C934">
        <v>1</v>
      </c>
    </row>
    <row r="935" spans="1:3" ht="13" x14ac:dyDescent="0.15">
      <c r="A935">
        <v>48</v>
      </c>
      <c r="B935">
        <v>270140000</v>
      </c>
      <c r="C935">
        <v>1</v>
      </c>
    </row>
    <row r="936" spans="1:3" ht="13" x14ac:dyDescent="0.15">
      <c r="A936">
        <v>48</v>
      </c>
      <c r="B936">
        <v>270304000</v>
      </c>
      <c r="C936">
        <v>1</v>
      </c>
    </row>
    <row r="937" spans="1:3" ht="13" x14ac:dyDescent="0.15">
      <c r="A937">
        <v>48</v>
      </c>
      <c r="B937">
        <v>270316000</v>
      </c>
      <c r="C937">
        <v>1</v>
      </c>
    </row>
    <row r="938" spans="1:3" ht="13" x14ac:dyDescent="0.15">
      <c r="A938">
        <v>48</v>
      </c>
      <c r="B938">
        <v>270330000</v>
      </c>
      <c r="C938">
        <v>1</v>
      </c>
    </row>
    <row r="939" spans="1:3" ht="13" x14ac:dyDescent="0.15">
      <c r="A939">
        <v>48</v>
      </c>
      <c r="B939">
        <v>270412000</v>
      </c>
      <c r="C939">
        <v>2</v>
      </c>
    </row>
    <row r="940" spans="1:3" ht="13" x14ac:dyDescent="0.15">
      <c r="A940">
        <v>48</v>
      </c>
      <c r="B940">
        <v>270710000</v>
      </c>
      <c r="C940">
        <v>4</v>
      </c>
    </row>
    <row r="941" spans="1:3" ht="13" x14ac:dyDescent="0.15">
      <c r="A941">
        <v>48</v>
      </c>
      <c r="B941">
        <v>270806000</v>
      </c>
      <c r="C941">
        <v>1</v>
      </c>
    </row>
    <row r="942" spans="1:3" ht="13" x14ac:dyDescent="0.15">
      <c r="A942">
        <v>48</v>
      </c>
      <c r="B942">
        <v>270810000</v>
      </c>
      <c r="C942">
        <v>1</v>
      </c>
    </row>
    <row r="943" spans="1:3" ht="13" x14ac:dyDescent="0.15">
      <c r="A943">
        <v>48</v>
      </c>
      <c r="B943">
        <v>271059000</v>
      </c>
      <c r="C943">
        <v>2</v>
      </c>
    </row>
    <row r="944" spans="1:3" ht="13" x14ac:dyDescent="0.15">
      <c r="A944">
        <v>48</v>
      </c>
      <c r="B944">
        <v>271074000</v>
      </c>
      <c r="C944">
        <v>1</v>
      </c>
    </row>
    <row r="945" spans="1:3" ht="13" x14ac:dyDescent="0.15">
      <c r="A945">
        <v>48</v>
      </c>
      <c r="B945">
        <v>271206000</v>
      </c>
      <c r="C945">
        <v>3</v>
      </c>
    </row>
    <row r="946" spans="1:3" ht="13" x14ac:dyDescent="0.15">
      <c r="A946">
        <v>48</v>
      </c>
      <c r="B946">
        <v>271207000</v>
      </c>
      <c r="C946">
        <v>2</v>
      </c>
    </row>
    <row r="947" spans="1:3" ht="13" x14ac:dyDescent="0.15">
      <c r="A947">
        <v>48</v>
      </c>
      <c r="B947">
        <v>271214000</v>
      </c>
      <c r="C947">
        <v>1</v>
      </c>
    </row>
    <row r="948" spans="1:3" ht="13" x14ac:dyDescent="0.15">
      <c r="A948">
        <v>48</v>
      </c>
      <c r="B948">
        <v>271215000</v>
      </c>
      <c r="C948">
        <v>1</v>
      </c>
    </row>
    <row r="949" spans="1:3" ht="13" x14ac:dyDescent="0.15">
      <c r="A949">
        <v>48</v>
      </c>
      <c r="B949">
        <v>271221000</v>
      </c>
      <c r="C949">
        <v>1</v>
      </c>
    </row>
    <row r="950" spans="1:3" ht="13" x14ac:dyDescent="0.15">
      <c r="A950">
        <v>48</v>
      </c>
      <c r="B950">
        <v>271302000</v>
      </c>
      <c r="C950">
        <v>1</v>
      </c>
    </row>
    <row r="951" spans="1:3" ht="13" x14ac:dyDescent="0.15">
      <c r="A951">
        <v>48</v>
      </c>
      <c r="B951">
        <v>271503000</v>
      </c>
      <c r="C951">
        <v>1</v>
      </c>
    </row>
    <row r="952" spans="1:3" ht="13" x14ac:dyDescent="0.15">
      <c r="A952">
        <v>49</v>
      </c>
      <c r="B952">
        <v>270140000</v>
      </c>
      <c r="C952">
        <v>6</v>
      </c>
    </row>
    <row r="953" spans="1:3" ht="13" x14ac:dyDescent="0.15">
      <c r="A953">
        <v>49</v>
      </c>
      <c r="B953">
        <v>270204000</v>
      </c>
      <c r="C953">
        <v>1</v>
      </c>
    </row>
    <row r="954" spans="1:3" ht="13" x14ac:dyDescent="0.15">
      <c r="A954">
        <v>49</v>
      </c>
      <c r="B954">
        <v>270217000</v>
      </c>
      <c r="C954">
        <v>1</v>
      </c>
    </row>
    <row r="955" spans="1:3" ht="13" x14ac:dyDescent="0.15">
      <c r="A955">
        <v>49</v>
      </c>
      <c r="B955">
        <v>270271000</v>
      </c>
      <c r="C955">
        <v>3</v>
      </c>
    </row>
    <row r="956" spans="1:3" ht="13" x14ac:dyDescent="0.15">
      <c r="A956">
        <v>49</v>
      </c>
      <c r="B956">
        <v>270275000</v>
      </c>
      <c r="C956">
        <v>1</v>
      </c>
    </row>
    <row r="957" spans="1:3" ht="13" x14ac:dyDescent="0.15">
      <c r="A957">
        <v>49</v>
      </c>
      <c r="B957">
        <v>270276000</v>
      </c>
      <c r="C957">
        <v>1</v>
      </c>
    </row>
    <row r="958" spans="1:3" ht="13" x14ac:dyDescent="0.15">
      <c r="A958">
        <v>49</v>
      </c>
      <c r="B958">
        <v>270280000</v>
      </c>
      <c r="C958">
        <v>1</v>
      </c>
    </row>
    <row r="959" spans="1:3" ht="13" x14ac:dyDescent="0.15">
      <c r="A959">
        <v>49</v>
      </c>
      <c r="B959">
        <v>270282000</v>
      </c>
      <c r="C959">
        <v>3</v>
      </c>
    </row>
    <row r="960" spans="1:3" ht="13" x14ac:dyDescent="0.15">
      <c r="A960">
        <v>49</v>
      </c>
      <c r="B960">
        <v>270286000</v>
      </c>
      <c r="C960">
        <v>5</v>
      </c>
    </row>
    <row r="961" spans="1:3" ht="13" x14ac:dyDescent="0.15">
      <c r="A961">
        <v>49</v>
      </c>
      <c r="B961">
        <v>270287000</v>
      </c>
      <c r="C961">
        <v>1</v>
      </c>
    </row>
    <row r="962" spans="1:3" ht="13" x14ac:dyDescent="0.15">
      <c r="A962">
        <v>49</v>
      </c>
      <c r="B962">
        <v>270303000</v>
      </c>
      <c r="C962">
        <v>1</v>
      </c>
    </row>
    <row r="963" spans="1:3" ht="13" x14ac:dyDescent="0.15">
      <c r="A963">
        <v>49</v>
      </c>
      <c r="B963">
        <v>270304000</v>
      </c>
      <c r="C963">
        <v>3</v>
      </c>
    </row>
    <row r="964" spans="1:3" ht="13" x14ac:dyDescent="0.15">
      <c r="A964">
        <v>49</v>
      </c>
      <c r="B964">
        <v>270310000</v>
      </c>
      <c r="C964">
        <v>3</v>
      </c>
    </row>
    <row r="965" spans="1:3" ht="13" x14ac:dyDescent="0.15">
      <c r="A965">
        <v>49</v>
      </c>
      <c r="B965">
        <v>270316000</v>
      </c>
      <c r="C965">
        <v>4</v>
      </c>
    </row>
    <row r="966" spans="1:3" ht="13" x14ac:dyDescent="0.15">
      <c r="A966">
        <v>49</v>
      </c>
      <c r="B966">
        <v>270328000</v>
      </c>
      <c r="C966">
        <v>3</v>
      </c>
    </row>
    <row r="967" spans="1:3" ht="13" x14ac:dyDescent="0.15">
      <c r="A967">
        <v>49</v>
      </c>
      <c r="B967">
        <v>270330000</v>
      </c>
      <c r="C967">
        <v>2</v>
      </c>
    </row>
    <row r="968" spans="1:3" ht="13" x14ac:dyDescent="0.15">
      <c r="A968">
        <v>49</v>
      </c>
      <c r="B968">
        <v>270358000</v>
      </c>
      <c r="C968">
        <v>1</v>
      </c>
    </row>
    <row r="969" spans="1:3" ht="13" x14ac:dyDescent="0.15">
      <c r="A969">
        <v>49</v>
      </c>
      <c r="B969">
        <v>270359000</v>
      </c>
      <c r="C969">
        <v>1</v>
      </c>
    </row>
    <row r="970" spans="1:3" ht="13" x14ac:dyDescent="0.15">
      <c r="A970">
        <v>49</v>
      </c>
      <c r="B970">
        <v>270411000</v>
      </c>
      <c r="C970">
        <v>5</v>
      </c>
    </row>
    <row r="971" spans="1:3" ht="13" x14ac:dyDescent="0.15">
      <c r="A971">
        <v>49</v>
      </c>
      <c r="B971">
        <v>270413000</v>
      </c>
      <c r="C971">
        <v>2</v>
      </c>
    </row>
    <row r="972" spans="1:3" ht="13" x14ac:dyDescent="0.15">
      <c r="A972">
        <v>49</v>
      </c>
      <c r="B972">
        <v>270710000</v>
      </c>
      <c r="C972">
        <v>6</v>
      </c>
    </row>
    <row r="973" spans="1:3" ht="13" x14ac:dyDescent="0.15">
      <c r="A973">
        <v>49</v>
      </c>
      <c r="B973">
        <v>270716000</v>
      </c>
      <c r="C973">
        <v>4</v>
      </c>
    </row>
    <row r="974" spans="1:3" ht="13" x14ac:dyDescent="0.15">
      <c r="A974">
        <v>49</v>
      </c>
      <c r="B974">
        <v>270717000</v>
      </c>
      <c r="C974">
        <v>3</v>
      </c>
    </row>
    <row r="975" spans="1:3" ht="13" x14ac:dyDescent="0.15">
      <c r="A975">
        <v>49</v>
      </c>
      <c r="B975">
        <v>270801000</v>
      </c>
      <c r="C975">
        <v>1</v>
      </c>
    </row>
    <row r="976" spans="1:3" ht="13" x14ac:dyDescent="0.15">
      <c r="A976">
        <v>49</v>
      </c>
      <c r="B976">
        <v>270803000</v>
      </c>
      <c r="C976">
        <v>2</v>
      </c>
    </row>
    <row r="977" spans="1:3" ht="13" x14ac:dyDescent="0.15">
      <c r="A977">
        <v>49</v>
      </c>
      <c r="B977">
        <v>270806000</v>
      </c>
      <c r="C977">
        <v>2</v>
      </c>
    </row>
    <row r="978" spans="1:3" ht="13" x14ac:dyDescent="0.15">
      <c r="A978">
        <v>49</v>
      </c>
      <c r="B978">
        <v>270810000</v>
      </c>
      <c r="C978">
        <v>2</v>
      </c>
    </row>
    <row r="979" spans="1:3" ht="13" x14ac:dyDescent="0.15">
      <c r="A979">
        <v>49</v>
      </c>
      <c r="B979">
        <v>270903000</v>
      </c>
      <c r="C979">
        <v>1</v>
      </c>
    </row>
    <row r="980" spans="1:3" ht="13" x14ac:dyDescent="0.15">
      <c r="A980">
        <v>49</v>
      </c>
      <c r="B980">
        <v>270904000</v>
      </c>
      <c r="C980">
        <v>2</v>
      </c>
    </row>
    <row r="981" spans="1:3" ht="13" x14ac:dyDescent="0.15">
      <c r="A981">
        <v>49</v>
      </c>
      <c r="B981">
        <v>270910000</v>
      </c>
      <c r="C981">
        <v>1</v>
      </c>
    </row>
    <row r="982" spans="1:3" ht="13" x14ac:dyDescent="0.15">
      <c r="A982">
        <v>49</v>
      </c>
      <c r="B982">
        <v>270914000</v>
      </c>
      <c r="C982">
        <v>1</v>
      </c>
    </row>
    <row r="983" spans="1:3" ht="13" x14ac:dyDescent="0.15">
      <c r="A983">
        <v>49</v>
      </c>
      <c r="B983">
        <v>270926000</v>
      </c>
      <c r="C983">
        <v>3</v>
      </c>
    </row>
    <row r="984" spans="1:3" ht="13" x14ac:dyDescent="0.15">
      <c r="A984">
        <v>49</v>
      </c>
      <c r="B984">
        <v>271001000</v>
      </c>
      <c r="C984">
        <v>3</v>
      </c>
    </row>
    <row r="985" spans="1:3" ht="13" x14ac:dyDescent="0.15">
      <c r="A985">
        <v>49</v>
      </c>
      <c r="B985">
        <v>271002000</v>
      </c>
      <c r="C985">
        <v>2</v>
      </c>
    </row>
    <row r="986" spans="1:3" ht="13" x14ac:dyDescent="0.15">
      <c r="A986">
        <v>49</v>
      </c>
      <c r="B986">
        <v>271005000</v>
      </c>
      <c r="C986">
        <v>6</v>
      </c>
    </row>
    <row r="987" spans="1:3" ht="13" x14ac:dyDescent="0.15">
      <c r="A987">
        <v>49</v>
      </c>
      <c r="B987">
        <v>271006000</v>
      </c>
      <c r="C987">
        <v>4</v>
      </c>
    </row>
    <row r="988" spans="1:3" ht="13" x14ac:dyDescent="0.15">
      <c r="A988">
        <v>49</v>
      </c>
      <c r="B988">
        <v>271008000</v>
      </c>
      <c r="C988">
        <v>2</v>
      </c>
    </row>
    <row r="989" spans="1:3" ht="13" x14ac:dyDescent="0.15">
      <c r="A989">
        <v>49</v>
      </c>
      <c r="B989">
        <v>271010000</v>
      </c>
      <c r="C989">
        <v>3</v>
      </c>
    </row>
    <row r="990" spans="1:3" ht="13" x14ac:dyDescent="0.15">
      <c r="A990">
        <v>49</v>
      </c>
      <c r="B990">
        <v>271011000</v>
      </c>
      <c r="C990">
        <v>3</v>
      </c>
    </row>
    <row r="991" spans="1:3" ht="13" x14ac:dyDescent="0.15">
      <c r="A991">
        <v>49</v>
      </c>
      <c r="B991">
        <v>271013000</v>
      </c>
      <c r="C991">
        <v>1</v>
      </c>
    </row>
    <row r="992" spans="1:3" ht="13" x14ac:dyDescent="0.15">
      <c r="A992">
        <v>49</v>
      </c>
      <c r="B992">
        <v>271020000</v>
      </c>
      <c r="C992">
        <v>3</v>
      </c>
    </row>
    <row r="993" spans="1:3" ht="13" x14ac:dyDescent="0.15">
      <c r="A993">
        <v>49</v>
      </c>
      <c r="B993">
        <v>271021000</v>
      </c>
      <c r="C993">
        <v>2</v>
      </c>
    </row>
    <row r="994" spans="1:3" ht="13" x14ac:dyDescent="0.15">
      <c r="A994">
        <v>49</v>
      </c>
      <c r="B994">
        <v>271025000</v>
      </c>
      <c r="C994">
        <v>1</v>
      </c>
    </row>
    <row r="995" spans="1:3" ht="13" x14ac:dyDescent="0.15">
      <c r="A995">
        <v>49</v>
      </c>
      <c r="B995">
        <v>271059000</v>
      </c>
      <c r="C995">
        <v>5</v>
      </c>
    </row>
    <row r="996" spans="1:3" ht="13" x14ac:dyDescent="0.15">
      <c r="A996">
        <v>49</v>
      </c>
      <c r="B996">
        <v>271074000</v>
      </c>
      <c r="C996">
        <v>2</v>
      </c>
    </row>
    <row r="997" spans="1:3" ht="13" x14ac:dyDescent="0.15">
      <c r="A997">
        <v>49</v>
      </c>
      <c r="B997">
        <v>271207000</v>
      </c>
      <c r="C997">
        <v>6</v>
      </c>
    </row>
    <row r="998" spans="1:3" ht="13" x14ac:dyDescent="0.15">
      <c r="A998">
        <v>49</v>
      </c>
      <c r="B998">
        <v>271215000</v>
      </c>
      <c r="C998">
        <v>2</v>
      </c>
    </row>
    <row r="999" spans="1:3" ht="13" x14ac:dyDescent="0.15">
      <c r="A999">
        <v>49</v>
      </c>
      <c r="B999">
        <v>271216000</v>
      </c>
      <c r="C999">
        <v>1</v>
      </c>
    </row>
    <row r="1000" spans="1:3" ht="13" x14ac:dyDescent="0.15">
      <c r="A1000">
        <v>49</v>
      </c>
      <c r="B1000">
        <v>271221000</v>
      </c>
      <c r="C1000">
        <v>1</v>
      </c>
    </row>
    <row r="1001" spans="1:3" ht="13" x14ac:dyDescent="0.15">
      <c r="A1001">
        <v>49</v>
      </c>
      <c r="B1001">
        <v>271226000</v>
      </c>
      <c r="C1001">
        <v>5</v>
      </c>
    </row>
    <row r="1002" spans="1:3" ht="13" x14ac:dyDescent="0.15">
      <c r="A1002">
        <v>49</v>
      </c>
      <c r="B1002">
        <v>271245000</v>
      </c>
      <c r="C1002">
        <v>1</v>
      </c>
    </row>
    <row r="1003" spans="1:3" ht="13" x14ac:dyDescent="0.15">
      <c r="A1003">
        <v>49</v>
      </c>
      <c r="B1003">
        <v>271251000</v>
      </c>
      <c r="C1003">
        <v>1</v>
      </c>
    </row>
    <row r="1004" spans="1:3" ht="13" x14ac:dyDescent="0.15">
      <c r="A1004">
        <v>49</v>
      </c>
      <c r="B1004">
        <v>271257000</v>
      </c>
      <c r="C1004">
        <v>1</v>
      </c>
    </row>
    <row r="1005" spans="1:3" ht="13" x14ac:dyDescent="0.15">
      <c r="A1005">
        <v>49</v>
      </c>
      <c r="B1005">
        <v>271259000</v>
      </c>
      <c r="C1005">
        <v>1</v>
      </c>
    </row>
    <row r="1006" spans="1:3" ht="13" x14ac:dyDescent="0.15">
      <c r="A1006">
        <v>49</v>
      </c>
      <c r="B1006">
        <v>271306000</v>
      </c>
      <c r="C1006">
        <v>5</v>
      </c>
    </row>
    <row r="1007" spans="1:3" ht="13" x14ac:dyDescent="0.15">
      <c r="A1007">
        <v>49</v>
      </c>
      <c r="B1007">
        <v>271454000</v>
      </c>
      <c r="C1007">
        <v>1</v>
      </c>
    </row>
    <row r="1008" spans="1:3" ht="13" x14ac:dyDescent="0.15">
      <c r="A1008">
        <v>49</v>
      </c>
      <c r="B1008">
        <v>271503000</v>
      </c>
      <c r="C1008">
        <v>1</v>
      </c>
    </row>
    <row r="1009" spans="1:3" ht="13" x14ac:dyDescent="0.15">
      <c r="A1009">
        <v>49</v>
      </c>
      <c r="B1009">
        <v>271512000</v>
      </c>
      <c r="C1009">
        <v>1</v>
      </c>
    </row>
    <row r="1010" spans="1:3" ht="13" x14ac:dyDescent="0.15">
      <c r="A1010">
        <v>49</v>
      </c>
      <c r="B1010">
        <v>271606000</v>
      </c>
      <c r="C1010">
        <v>1</v>
      </c>
    </row>
    <row r="1011" spans="1:3" ht="13" x14ac:dyDescent="0.15">
      <c r="A1011">
        <v>49</v>
      </c>
      <c r="B1011">
        <v>277143000</v>
      </c>
      <c r="C1011">
        <v>1</v>
      </c>
    </row>
    <row r="1012" spans="1:3" ht="13" x14ac:dyDescent="0.15">
      <c r="A1012">
        <v>52</v>
      </c>
      <c r="B1012">
        <v>270122000</v>
      </c>
      <c r="C1012">
        <v>1</v>
      </c>
    </row>
    <row r="1013" spans="1:3" ht="13" x14ac:dyDescent="0.15">
      <c r="A1013">
        <v>52</v>
      </c>
      <c r="B1013">
        <v>270140000</v>
      </c>
      <c r="C1013">
        <v>2</v>
      </c>
    </row>
    <row r="1014" spans="1:3" ht="13" x14ac:dyDescent="0.15">
      <c r="A1014">
        <v>52</v>
      </c>
      <c r="B1014">
        <v>270168000</v>
      </c>
      <c r="C1014">
        <v>1</v>
      </c>
    </row>
    <row r="1015" spans="1:3" ht="13" x14ac:dyDescent="0.15">
      <c r="A1015">
        <v>52</v>
      </c>
      <c r="B1015">
        <v>270180000</v>
      </c>
      <c r="C1015">
        <v>3</v>
      </c>
    </row>
    <row r="1016" spans="1:3" ht="13" x14ac:dyDescent="0.15">
      <c r="A1016">
        <v>52</v>
      </c>
      <c r="B1016">
        <v>270204000</v>
      </c>
      <c r="C1016">
        <v>3</v>
      </c>
    </row>
    <row r="1017" spans="1:3" ht="13" x14ac:dyDescent="0.15">
      <c r="A1017">
        <v>52</v>
      </c>
      <c r="B1017">
        <v>270217000</v>
      </c>
      <c r="C1017">
        <v>3</v>
      </c>
    </row>
    <row r="1018" spans="1:3" ht="13" x14ac:dyDescent="0.15">
      <c r="A1018">
        <v>52</v>
      </c>
      <c r="B1018">
        <v>270242000</v>
      </c>
      <c r="C1018">
        <v>2</v>
      </c>
    </row>
    <row r="1019" spans="1:3" ht="13" x14ac:dyDescent="0.15">
      <c r="A1019">
        <v>52</v>
      </c>
      <c r="B1019">
        <v>270271000</v>
      </c>
      <c r="C1019">
        <v>3</v>
      </c>
    </row>
    <row r="1020" spans="1:3" ht="13" x14ac:dyDescent="0.15">
      <c r="A1020">
        <v>52</v>
      </c>
      <c r="B1020">
        <v>270286000</v>
      </c>
      <c r="C1020">
        <v>2</v>
      </c>
    </row>
    <row r="1021" spans="1:3" ht="13" x14ac:dyDescent="0.15">
      <c r="A1021">
        <v>52</v>
      </c>
      <c r="B1021">
        <v>270303000</v>
      </c>
      <c r="C1021">
        <v>1</v>
      </c>
    </row>
    <row r="1022" spans="1:3" ht="13" x14ac:dyDescent="0.15">
      <c r="A1022">
        <v>52</v>
      </c>
      <c r="B1022">
        <v>270304000</v>
      </c>
      <c r="C1022">
        <v>2</v>
      </c>
    </row>
    <row r="1023" spans="1:3" ht="13" x14ac:dyDescent="0.15">
      <c r="A1023">
        <v>52</v>
      </c>
      <c r="B1023">
        <v>270310000</v>
      </c>
      <c r="C1023">
        <v>1</v>
      </c>
    </row>
    <row r="1024" spans="1:3" ht="13" x14ac:dyDescent="0.15">
      <c r="A1024">
        <v>52</v>
      </c>
      <c r="B1024">
        <v>270316000</v>
      </c>
      <c r="C1024">
        <v>2</v>
      </c>
    </row>
    <row r="1025" spans="1:3" ht="13" x14ac:dyDescent="0.15">
      <c r="A1025">
        <v>52</v>
      </c>
      <c r="B1025">
        <v>270328000</v>
      </c>
      <c r="C1025">
        <v>5</v>
      </c>
    </row>
    <row r="1026" spans="1:3" ht="13" x14ac:dyDescent="0.15">
      <c r="A1026">
        <v>52</v>
      </c>
      <c r="B1026">
        <v>270330000</v>
      </c>
      <c r="C1026">
        <v>1</v>
      </c>
    </row>
    <row r="1027" spans="1:3" ht="13" x14ac:dyDescent="0.15">
      <c r="A1027">
        <v>52</v>
      </c>
      <c r="B1027">
        <v>270403000</v>
      </c>
      <c r="C1027">
        <v>2</v>
      </c>
    </row>
    <row r="1028" spans="1:3" ht="13" x14ac:dyDescent="0.15">
      <c r="A1028">
        <v>52</v>
      </c>
      <c r="B1028">
        <v>270405000</v>
      </c>
      <c r="C1028">
        <v>1</v>
      </c>
    </row>
    <row r="1029" spans="1:3" ht="13" x14ac:dyDescent="0.15">
      <c r="A1029">
        <v>52</v>
      </c>
      <c r="B1029">
        <v>270408000</v>
      </c>
      <c r="C1029">
        <v>1</v>
      </c>
    </row>
    <row r="1030" spans="1:3" ht="13" x14ac:dyDescent="0.15">
      <c r="A1030">
        <v>52</v>
      </c>
      <c r="B1030">
        <v>270411000</v>
      </c>
      <c r="C1030">
        <v>4</v>
      </c>
    </row>
    <row r="1031" spans="1:3" ht="13" x14ac:dyDescent="0.15">
      <c r="A1031">
        <v>52</v>
      </c>
      <c r="B1031">
        <v>270710000</v>
      </c>
      <c r="C1031">
        <v>7</v>
      </c>
    </row>
    <row r="1032" spans="1:3" ht="13" x14ac:dyDescent="0.15">
      <c r="A1032">
        <v>52</v>
      </c>
      <c r="B1032">
        <v>270801000</v>
      </c>
      <c r="C1032">
        <v>1</v>
      </c>
    </row>
    <row r="1033" spans="1:3" ht="13" x14ac:dyDescent="0.15">
      <c r="A1033">
        <v>52</v>
      </c>
      <c r="B1033">
        <v>270803000</v>
      </c>
      <c r="C1033">
        <v>12</v>
      </c>
    </row>
    <row r="1034" spans="1:3" ht="13" x14ac:dyDescent="0.15">
      <c r="A1034">
        <v>52</v>
      </c>
      <c r="B1034">
        <v>270805000</v>
      </c>
      <c r="C1034">
        <v>4</v>
      </c>
    </row>
    <row r="1035" spans="1:3" ht="13" x14ac:dyDescent="0.15">
      <c r="A1035">
        <v>52</v>
      </c>
      <c r="B1035">
        <v>270806000</v>
      </c>
      <c r="C1035">
        <v>1</v>
      </c>
    </row>
    <row r="1036" spans="1:3" ht="13" x14ac:dyDescent="0.15">
      <c r="A1036">
        <v>52</v>
      </c>
      <c r="B1036">
        <v>270810000</v>
      </c>
      <c r="C1036">
        <v>5</v>
      </c>
    </row>
    <row r="1037" spans="1:3" ht="13" x14ac:dyDescent="0.15">
      <c r="A1037">
        <v>52</v>
      </c>
      <c r="B1037">
        <v>270903000</v>
      </c>
      <c r="C1037">
        <v>1</v>
      </c>
    </row>
    <row r="1038" spans="1:3" ht="13" x14ac:dyDescent="0.15">
      <c r="A1038">
        <v>52</v>
      </c>
      <c r="B1038">
        <v>270904000</v>
      </c>
      <c r="C1038">
        <v>1</v>
      </c>
    </row>
    <row r="1039" spans="1:3" ht="13" x14ac:dyDescent="0.15">
      <c r="A1039">
        <v>52</v>
      </c>
      <c r="B1039">
        <v>270905000</v>
      </c>
      <c r="C1039">
        <v>1</v>
      </c>
    </row>
    <row r="1040" spans="1:3" ht="13" x14ac:dyDescent="0.15">
      <c r="A1040">
        <v>52</v>
      </c>
      <c r="B1040">
        <v>270910000</v>
      </c>
      <c r="C1040">
        <v>1</v>
      </c>
    </row>
    <row r="1041" spans="1:3" ht="13" x14ac:dyDescent="0.15">
      <c r="A1041">
        <v>52</v>
      </c>
      <c r="B1041">
        <v>270914000</v>
      </c>
      <c r="C1041">
        <v>1</v>
      </c>
    </row>
    <row r="1042" spans="1:3" ht="13" x14ac:dyDescent="0.15">
      <c r="A1042">
        <v>52</v>
      </c>
      <c r="B1042">
        <v>270926000</v>
      </c>
      <c r="C1042">
        <v>4</v>
      </c>
    </row>
    <row r="1043" spans="1:3" ht="13" x14ac:dyDescent="0.15">
      <c r="A1043">
        <v>52</v>
      </c>
      <c r="B1043">
        <v>271002000</v>
      </c>
      <c r="C1043">
        <v>1</v>
      </c>
    </row>
    <row r="1044" spans="1:3" ht="13" x14ac:dyDescent="0.15">
      <c r="A1044">
        <v>52</v>
      </c>
      <c r="B1044">
        <v>271005000</v>
      </c>
      <c r="C1044">
        <v>2</v>
      </c>
    </row>
    <row r="1045" spans="1:3" ht="13" x14ac:dyDescent="0.15">
      <c r="A1045">
        <v>52</v>
      </c>
      <c r="B1045">
        <v>271006000</v>
      </c>
      <c r="C1045">
        <v>2</v>
      </c>
    </row>
    <row r="1046" spans="1:3" ht="13" x14ac:dyDescent="0.15">
      <c r="A1046">
        <v>52</v>
      </c>
      <c r="B1046">
        <v>271008000</v>
      </c>
      <c r="C1046">
        <v>2</v>
      </c>
    </row>
    <row r="1047" spans="1:3" ht="13" x14ac:dyDescent="0.15">
      <c r="A1047">
        <v>52</v>
      </c>
      <c r="B1047">
        <v>271010000</v>
      </c>
      <c r="C1047">
        <v>4</v>
      </c>
    </row>
    <row r="1048" spans="1:3" ht="13" x14ac:dyDescent="0.15">
      <c r="A1048">
        <v>52</v>
      </c>
      <c r="B1048">
        <v>271011000</v>
      </c>
      <c r="C1048">
        <v>4</v>
      </c>
    </row>
    <row r="1049" spans="1:3" ht="13" x14ac:dyDescent="0.15">
      <c r="A1049">
        <v>52</v>
      </c>
      <c r="B1049">
        <v>271020000</v>
      </c>
      <c r="C1049">
        <v>4</v>
      </c>
    </row>
    <row r="1050" spans="1:3" ht="13" x14ac:dyDescent="0.15">
      <c r="A1050">
        <v>52</v>
      </c>
      <c r="B1050">
        <v>271021000</v>
      </c>
      <c r="C1050">
        <v>2</v>
      </c>
    </row>
    <row r="1051" spans="1:3" ht="13" x14ac:dyDescent="0.15">
      <c r="A1051">
        <v>52</v>
      </c>
      <c r="B1051">
        <v>271059000</v>
      </c>
      <c r="C1051">
        <v>8</v>
      </c>
    </row>
    <row r="1052" spans="1:3" ht="13" x14ac:dyDescent="0.15">
      <c r="A1052">
        <v>52</v>
      </c>
      <c r="B1052">
        <v>271074000</v>
      </c>
      <c r="C1052">
        <v>3</v>
      </c>
    </row>
    <row r="1053" spans="1:3" ht="13" x14ac:dyDescent="0.15">
      <c r="A1053">
        <v>52</v>
      </c>
      <c r="B1053">
        <v>271204000</v>
      </c>
      <c r="C1053">
        <v>2</v>
      </c>
    </row>
    <row r="1054" spans="1:3" ht="13" x14ac:dyDescent="0.15">
      <c r="A1054">
        <v>52</v>
      </c>
      <c r="B1054">
        <v>271206000</v>
      </c>
      <c r="C1054">
        <v>2</v>
      </c>
    </row>
    <row r="1055" spans="1:3" ht="13" x14ac:dyDescent="0.15">
      <c r="A1055">
        <v>52</v>
      </c>
      <c r="B1055">
        <v>271207000</v>
      </c>
      <c r="C1055">
        <v>17</v>
      </c>
    </row>
    <row r="1056" spans="1:3" ht="13" x14ac:dyDescent="0.15">
      <c r="A1056">
        <v>52</v>
      </c>
      <c r="B1056">
        <v>271208000</v>
      </c>
      <c r="C1056">
        <v>1</v>
      </c>
    </row>
    <row r="1057" spans="1:3" ht="13" x14ac:dyDescent="0.15">
      <c r="A1057">
        <v>52</v>
      </c>
      <c r="B1057">
        <v>271212000</v>
      </c>
      <c r="C1057">
        <v>3</v>
      </c>
    </row>
    <row r="1058" spans="1:3" ht="13" x14ac:dyDescent="0.15">
      <c r="A1058">
        <v>52</v>
      </c>
      <c r="B1058">
        <v>271215000</v>
      </c>
      <c r="C1058">
        <v>4</v>
      </c>
    </row>
    <row r="1059" spans="1:3" ht="13" x14ac:dyDescent="0.15">
      <c r="A1059">
        <v>52</v>
      </c>
      <c r="B1059">
        <v>271216000</v>
      </c>
      <c r="C1059">
        <v>5</v>
      </c>
    </row>
    <row r="1060" spans="1:3" ht="13" x14ac:dyDescent="0.15">
      <c r="A1060">
        <v>52</v>
      </c>
      <c r="B1060">
        <v>271221000</v>
      </c>
      <c r="C1060">
        <v>2</v>
      </c>
    </row>
    <row r="1061" spans="1:3" ht="13" x14ac:dyDescent="0.15">
      <c r="A1061">
        <v>52</v>
      </c>
      <c r="B1061">
        <v>271244000</v>
      </c>
      <c r="C1061">
        <v>9</v>
      </c>
    </row>
    <row r="1062" spans="1:3" ht="13" x14ac:dyDescent="0.15">
      <c r="A1062">
        <v>52</v>
      </c>
      <c r="B1062">
        <v>271259000</v>
      </c>
      <c r="C1062">
        <v>1</v>
      </c>
    </row>
    <row r="1063" spans="1:3" ht="13" x14ac:dyDescent="0.15">
      <c r="A1063">
        <v>52</v>
      </c>
      <c r="B1063">
        <v>271260000</v>
      </c>
      <c r="C1063">
        <v>1</v>
      </c>
    </row>
    <row r="1064" spans="1:3" ht="13" x14ac:dyDescent="0.15">
      <c r="A1064">
        <v>52</v>
      </c>
      <c r="B1064">
        <v>271301000</v>
      </c>
      <c r="C1064">
        <v>2</v>
      </c>
    </row>
    <row r="1065" spans="1:3" ht="13" x14ac:dyDescent="0.15">
      <c r="A1065">
        <v>52</v>
      </c>
      <c r="B1065">
        <v>271302000</v>
      </c>
      <c r="C1065">
        <v>1</v>
      </c>
    </row>
    <row r="1066" spans="1:3" ht="13" x14ac:dyDescent="0.15">
      <c r="A1066">
        <v>52</v>
      </c>
      <c r="B1066">
        <v>271453000</v>
      </c>
      <c r="C1066">
        <v>1</v>
      </c>
    </row>
    <row r="1067" spans="1:3" ht="13" x14ac:dyDescent="0.15">
      <c r="A1067">
        <v>52</v>
      </c>
      <c r="B1067">
        <v>271455000</v>
      </c>
      <c r="C1067">
        <v>4</v>
      </c>
    </row>
    <row r="1068" spans="1:3" ht="13" x14ac:dyDescent="0.15">
      <c r="A1068">
        <v>52</v>
      </c>
      <c r="B1068">
        <v>271503000</v>
      </c>
      <c r="C1068">
        <v>3</v>
      </c>
    </row>
    <row r="1069" spans="1:3" ht="13" x14ac:dyDescent="0.15">
      <c r="A1069">
        <v>52</v>
      </c>
      <c r="B1069">
        <v>271512000</v>
      </c>
      <c r="C1069">
        <v>7</v>
      </c>
    </row>
    <row r="1070" spans="1:3" ht="13" x14ac:dyDescent="0.15">
      <c r="A1070">
        <v>52</v>
      </c>
      <c r="B1070">
        <v>271513000</v>
      </c>
      <c r="C1070">
        <v>1</v>
      </c>
    </row>
    <row r="1071" spans="1:3" ht="13" x14ac:dyDescent="0.15">
      <c r="A1071">
        <v>52</v>
      </c>
      <c r="B1071">
        <v>271514000</v>
      </c>
      <c r="C1071">
        <v>2</v>
      </c>
    </row>
    <row r="1072" spans="1:3" ht="13" x14ac:dyDescent="0.15">
      <c r="A1072">
        <v>53</v>
      </c>
      <c r="B1072">
        <v>270140000</v>
      </c>
      <c r="C1072">
        <v>7</v>
      </c>
    </row>
    <row r="1073" spans="1:3" ht="13" x14ac:dyDescent="0.15">
      <c r="A1073">
        <v>53</v>
      </c>
      <c r="B1073">
        <v>270163000</v>
      </c>
      <c r="C1073">
        <v>1</v>
      </c>
    </row>
    <row r="1074" spans="1:3" ht="13" x14ac:dyDescent="0.15">
      <c r="A1074">
        <v>53</v>
      </c>
      <c r="B1074">
        <v>270167000</v>
      </c>
      <c r="C1074">
        <v>1</v>
      </c>
    </row>
    <row r="1075" spans="1:3" ht="13" x14ac:dyDescent="0.15">
      <c r="A1075">
        <v>53</v>
      </c>
      <c r="B1075">
        <v>270168000</v>
      </c>
      <c r="C1075">
        <v>5</v>
      </c>
    </row>
    <row r="1076" spans="1:3" ht="13" x14ac:dyDescent="0.15">
      <c r="A1076">
        <v>53</v>
      </c>
      <c r="B1076">
        <v>270180000</v>
      </c>
      <c r="C1076">
        <v>1</v>
      </c>
    </row>
    <row r="1077" spans="1:3" ht="13" x14ac:dyDescent="0.15">
      <c r="A1077">
        <v>53</v>
      </c>
      <c r="B1077">
        <v>270204000</v>
      </c>
      <c r="C1077">
        <v>2</v>
      </c>
    </row>
    <row r="1078" spans="1:3" ht="13" x14ac:dyDescent="0.15">
      <c r="A1078">
        <v>53</v>
      </c>
      <c r="B1078">
        <v>270217000</v>
      </c>
      <c r="C1078">
        <v>1</v>
      </c>
    </row>
    <row r="1079" spans="1:3" ht="13" x14ac:dyDescent="0.15">
      <c r="A1079">
        <v>53</v>
      </c>
      <c r="B1079">
        <v>270271000</v>
      </c>
      <c r="C1079">
        <v>3</v>
      </c>
    </row>
    <row r="1080" spans="1:3" ht="13" x14ac:dyDescent="0.15">
      <c r="A1080">
        <v>53</v>
      </c>
      <c r="B1080">
        <v>270273000</v>
      </c>
      <c r="C1080">
        <v>1</v>
      </c>
    </row>
    <row r="1081" spans="1:3" ht="13" x14ac:dyDescent="0.15">
      <c r="A1081">
        <v>53</v>
      </c>
      <c r="B1081">
        <v>270282000</v>
      </c>
      <c r="C1081">
        <v>2</v>
      </c>
    </row>
    <row r="1082" spans="1:3" ht="13" x14ac:dyDescent="0.15">
      <c r="A1082">
        <v>53</v>
      </c>
      <c r="B1082">
        <v>270285000</v>
      </c>
      <c r="C1082">
        <v>1</v>
      </c>
    </row>
    <row r="1083" spans="1:3" ht="13" x14ac:dyDescent="0.15">
      <c r="A1083">
        <v>53</v>
      </c>
      <c r="B1083">
        <v>270286000</v>
      </c>
      <c r="C1083">
        <v>4</v>
      </c>
    </row>
    <row r="1084" spans="1:3" ht="13" x14ac:dyDescent="0.15">
      <c r="A1084">
        <v>53</v>
      </c>
      <c r="B1084">
        <v>270304000</v>
      </c>
      <c r="C1084">
        <v>2</v>
      </c>
    </row>
    <row r="1085" spans="1:3" ht="13" x14ac:dyDescent="0.15">
      <c r="A1085">
        <v>53</v>
      </c>
      <c r="B1085">
        <v>270310000</v>
      </c>
      <c r="C1085">
        <v>1</v>
      </c>
    </row>
    <row r="1086" spans="1:3" ht="13" x14ac:dyDescent="0.15">
      <c r="A1086">
        <v>53</v>
      </c>
      <c r="B1086">
        <v>270316000</v>
      </c>
      <c r="C1086">
        <v>5</v>
      </c>
    </row>
    <row r="1087" spans="1:3" ht="13" x14ac:dyDescent="0.15">
      <c r="A1087">
        <v>53</v>
      </c>
      <c r="B1087">
        <v>270328000</v>
      </c>
      <c r="C1087">
        <v>1</v>
      </c>
    </row>
    <row r="1088" spans="1:3" ht="13" x14ac:dyDescent="0.15">
      <c r="A1088">
        <v>53</v>
      </c>
      <c r="B1088">
        <v>270330000</v>
      </c>
      <c r="C1088">
        <v>1</v>
      </c>
    </row>
    <row r="1089" spans="1:3" ht="13" x14ac:dyDescent="0.15">
      <c r="A1089">
        <v>53</v>
      </c>
      <c r="B1089">
        <v>270359000</v>
      </c>
      <c r="C1089">
        <v>1</v>
      </c>
    </row>
    <row r="1090" spans="1:3" ht="13" x14ac:dyDescent="0.15">
      <c r="A1090">
        <v>53</v>
      </c>
      <c r="B1090">
        <v>270405000</v>
      </c>
      <c r="C1090">
        <v>1</v>
      </c>
    </row>
    <row r="1091" spans="1:3" ht="13" x14ac:dyDescent="0.15">
      <c r="A1091">
        <v>53</v>
      </c>
      <c r="B1091">
        <v>270408000</v>
      </c>
      <c r="C1091">
        <v>2</v>
      </c>
    </row>
    <row r="1092" spans="1:3" ht="13" x14ac:dyDescent="0.15">
      <c r="A1092">
        <v>53</v>
      </c>
      <c r="B1092">
        <v>270411000</v>
      </c>
      <c r="C1092">
        <v>4</v>
      </c>
    </row>
    <row r="1093" spans="1:3" ht="13" x14ac:dyDescent="0.15">
      <c r="A1093">
        <v>53</v>
      </c>
      <c r="B1093">
        <v>270710000</v>
      </c>
      <c r="C1093">
        <v>7</v>
      </c>
    </row>
    <row r="1094" spans="1:3" ht="13" x14ac:dyDescent="0.15">
      <c r="A1094">
        <v>53</v>
      </c>
      <c r="B1094">
        <v>270716000</v>
      </c>
      <c r="C1094">
        <v>3</v>
      </c>
    </row>
    <row r="1095" spans="1:3" ht="13" x14ac:dyDescent="0.15">
      <c r="A1095">
        <v>53</v>
      </c>
      <c r="B1095">
        <v>270717000</v>
      </c>
      <c r="C1095">
        <v>1</v>
      </c>
    </row>
    <row r="1096" spans="1:3" ht="13" x14ac:dyDescent="0.15">
      <c r="A1096">
        <v>53</v>
      </c>
      <c r="B1096">
        <v>270801000</v>
      </c>
      <c r="C1096">
        <v>1</v>
      </c>
    </row>
    <row r="1097" spans="1:3" ht="13" x14ac:dyDescent="0.15">
      <c r="A1097">
        <v>53</v>
      </c>
      <c r="B1097">
        <v>270803000</v>
      </c>
      <c r="C1097">
        <v>5</v>
      </c>
    </row>
    <row r="1098" spans="1:3" ht="13" x14ac:dyDescent="0.15">
      <c r="A1098">
        <v>53</v>
      </c>
      <c r="B1098">
        <v>270805000</v>
      </c>
      <c r="C1098">
        <v>3</v>
      </c>
    </row>
    <row r="1099" spans="1:3" ht="13" x14ac:dyDescent="0.15">
      <c r="A1099">
        <v>53</v>
      </c>
      <c r="B1099">
        <v>270806000</v>
      </c>
      <c r="C1099">
        <v>1</v>
      </c>
    </row>
    <row r="1100" spans="1:3" ht="13" x14ac:dyDescent="0.15">
      <c r="A1100">
        <v>53</v>
      </c>
      <c r="B1100">
        <v>270810000</v>
      </c>
      <c r="C1100">
        <v>3</v>
      </c>
    </row>
    <row r="1101" spans="1:3" ht="13" x14ac:dyDescent="0.15">
      <c r="A1101">
        <v>53</v>
      </c>
      <c r="B1101">
        <v>270905000</v>
      </c>
      <c r="C1101">
        <v>1</v>
      </c>
    </row>
    <row r="1102" spans="1:3" ht="13" x14ac:dyDescent="0.15">
      <c r="A1102">
        <v>53</v>
      </c>
      <c r="B1102">
        <v>270906000</v>
      </c>
      <c r="C1102">
        <v>2</v>
      </c>
    </row>
    <row r="1103" spans="1:3" ht="13" x14ac:dyDescent="0.15">
      <c r="A1103">
        <v>53</v>
      </c>
      <c r="B1103">
        <v>270910000</v>
      </c>
      <c r="C1103">
        <v>1</v>
      </c>
    </row>
    <row r="1104" spans="1:3" ht="13" x14ac:dyDescent="0.15">
      <c r="A1104">
        <v>53</v>
      </c>
      <c r="B1104">
        <v>270926000</v>
      </c>
      <c r="C1104">
        <v>5</v>
      </c>
    </row>
    <row r="1105" spans="1:3" ht="13" x14ac:dyDescent="0.15">
      <c r="A1105">
        <v>53</v>
      </c>
      <c r="B1105">
        <v>271002000</v>
      </c>
      <c r="C1105">
        <v>1</v>
      </c>
    </row>
    <row r="1106" spans="1:3" ht="13" x14ac:dyDescent="0.15">
      <c r="A1106">
        <v>53</v>
      </c>
      <c r="B1106">
        <v>271005000</v>
      </c>
      <c r="C1106">
        <v>1</v>
      </c>
    </row>
    <row r="1107" spans="1:3" ht="13" x14ac:dyDescent="0.15">
      <c r="A1107">
        <v>53</v>
      </c>
      <c r="B1107">
        <v>271006000</v>
      </c>
      <c r="C1107">
        <v>2</v>
      </c>
    </row>
    <row r="1108" spans="1:3" ht="13" x14ac:dyDescent="0.15">
      <c r="A1108">
        <v>53</v>
      </c>
      <c r="B1108">
        <v>271010000</v>
      </c>
      <c r="C1108">
        <v>3</v>
      </c>
    </row>
    <row r="1109" spans="1:3" ht="13" x14ac:dyDescent="0.15">
      <c r="A1109">
        <v>53</v>
      </c>
      <c r="B1109">
        <v>271020000</v>
      </c>
      <c r="C1109">
        <v>2</v>
      </c>
    </row>
    <row r="1110" spans="1:3" ht="13" x14ac:dyDescent="0.15">
      <c r="A1110">
        <v>53</v>
      </c>
      <c r="B1110">
        <v>271059000</v>
      </c>
      <c r="C1110">
        <v>6</v>
      </c>
    </row>
    <row r="1111" spans="1:3" ht="13" x14ac:dyDescent="0.15">
      <c r="A1111">
        <v>53</v>
      </c>
      <c r="B1111">
        <v>271074000</v>
      </c>
      <c r="C1111">
        <v>3</v>
      </c>
    </row>
    <row r="1112" spans="1:3" ht="13" x14ac:dyDescent="0.15">
      <c r="A1112">
        <v>53</v>
      </c>
      <c r="B1112">
        <v>271206000</v>
      </c>
      <c r="C1112">
        <v>5</v>
      </c>
    </row>
    <row r="1113" spans="1:3" ht="13" x14ac:dyDescent="0.15">
      <c r="A1113">
        <v>53</v>
      </c>
      <c r="B1113">
        <v>271207000</v>
      </c>
      <c r="C1113">
        <v>8</v>
      </c>
    </row>
    <row r="1114" spans="1:3" ht="13" x14ac:dyDescent="0.15">
      <c r="A1114">
        <v>53</v>
      </c>
      <c r="B1114">
        <v>271212000</v>
      </c>
      <c r="C1114">
        <v>4</v>
      </c>
    </row>
    <row r="1115" spans="1:3" ht="13" x14ac:dyDescent="0.15">
      <c r="A1115">
        <v>53</v>
      </c>
      <c r="B1115">
        <v>271213000</v>
      </c>
      <c r="C1115">
        <v>2</v>
      </c>
    </row>
    <row r="1116" spans="1:3" ht="13" x14ac:dyDescent="0.15">
      <c r="A1116">
        <v>53</v>
      </c>
      <c r="B1116">
        <v>271215000</v>
      </c>
      <c r="C1116">
        <v>4</v>
      </c>
    </row>
    <row r="1117" spans="1:3" ht="13" x14ac:dyDescent="0.15">
      <c r="A1117">
        <v>53</v>
      </c>
      <c r="B1117">
        <v>271216000</v>
      </c>
      <c r="C1117">
        <v>2</v>
      </c>
    </row>
    <row r="1118" spans="1:3" ht="13" x14ac:dyDescent="0.15">
      <c r="A1118">
        <v>53</v>
      </c>
      <c r="B1118">
        <v>271221000</v>
      </c>
      <c r="C1118">
        <v>2</v>
      </c>
    </row>
    <row r="1119" spans="1:3" ht="13" x14ac:dyDescent="0.15">
      <c r="A1119">
        <v>53</v>
      </c>
      <c r="B1119">
        <v>271244000</v>
      </c>
      <c r="C1119">
        <v>6</v>
      </c>
    </row>
    <row r="1120" spans="1:3" ht="13" x14ac:dyDescent="0.15">
      <c r="A1120">
        <v>53</v>
      </c>
      <c r="B1120">
        <v>271259000</v>
      </c>
      <c r="C1120">
        <v>2</v>
      </c>
    </row>
    <row r="1121" spans="1:3" ht="13" x14ac:dyDescent="0.15">
      <c r="A1121">
        <v>53</v>
      </c>
      <c r="B1121">
        <v>271260000</v>
      </c>
      <c r="C1121">
        <v>1</v>
      </c>
    </row>
    <row r="1122" spans="1:3" ht="13" x14ac:dyDescent="0.15">
      <c r="A1122">
        <v>53</v>
      </c>
      <c r="B1122">
        <v>271302000</v>
      </c>
      <c r="C1122">
        <v>1</v>
      </c>
    </row>
    <row r="1123" spans="1:3" ht="13" x14ac:dyDescent="0.15">
      <c r="A1123">
        <v>53</v>
      </c>
      <c r="B1123">
        <v>271306000</v>
      </c>
      <c r="C1123">
        <v>2</v>
      </c>
    </row>
    <row r="1124" spans="1:3" ht="13" x14ac:dyDescent="0.15">
      <c r="A1124">
        <v>53</v>
      </c>
      <c r="B1124">
        <v>271453000</v>
      </c>
      <c r="C1124">
        <v>2</v>
      </c>
    </row>
    <row r="1125" spans="1:3" ht="13" x14ac:dyDescent="0.15">
      <c r="A1125">
        <v>53</v>
      </c>
      <c r="B1125">
        <v>271455000</v>
      </c>
      <c r="C1125">
        <v>4</v>
      </c>
    </row>
    <row r="1126" spans="1:3" ht="13" x14ac:dyDescent="0.15">
      <c r="A1126">
        <v>53</v>
      </c>
      <c r="B1126">
        <v>271503000</v>
      </c>
      <c r="C1126">
        <v>2</v>
      </c>
    </row>
    <row r="1127" spans="1:3" ht="13" x14ac:dyDescent="0.15">
      <c r="A1127">
        <v>53</v>
      </c>
      <c r="B1127">
        <v>271513000</v>
      </c>
      <c r="C1127">
        <v>1</v>
      </c>
    </row>
    <row r="1128" spans="1:3" ht="13" x14ac:dyDescent="0.15">
      <c r="A1128">
        <v>53</v>
      </c>
      <c r="B1128">
        <v>271514000</v>
      </c>
      <c r="C1128">
        <v>2</v>
      </c>
    </row>
    <row r="1129" spans="1:3" ht="13" x14ac:dyDescent="0.15">
      <c r="A1129">
        <v>53</v>
      </c>
      <c r="B1129">
        <v>271606000</v>
      </c>
      <c r="C1129">
        <v>1</v>
      </c>
    </row>
    <row r="1130" spans="1:3" ht="13" x14ac:dyDescent="0.15">
      <c r="A1130">
        <v>53</v>
      </c>
      <c r="B1130">
        <v>271608000</v>
      </c>
      <c r="C1130">
        <v>1</v>
      </c>
    </row>
    <row r="1131" spans="1:3" ht="13" x14ac:dyDescent="0.15">
      <c r="A1131">
        <v>56</v>
      </c>
      <c r="B1131">
        <v>270114000</v>
      </c>
      <c r="C1131">
        <v>3</v>
      </c>
    </row>
    <row r="1132" spans="1:3" ht="13" x14ac:dyDescent="0.15">
      <c r="A1132">
        <v>56</v>
      </c>
      <c r="B1132">
        <v>270140000</v>
      </c>
      <c r="C1132">
        <v>6</v>
      </c>
    </row>
    <row r="1133" spans="1:3" ht="13" x14ac:dyDescent="0.15">
      <c r="A1133">
        <v>56</v>
      </c>
      <c r="B1133">
        <v>270162000</v>
      </c>
      <c r="C1133">
        <v>1</v>
      </c>
    </row>
    <row r="1134" spans="1:3" ht="13" x14ac:dyDescent="0.15">
      <c r="A1134">
        <v>56</v>
      </c>
      <c r="B1134">
        <v>270163000</v>
      </c>
      <c r="C1134">
        <v>2</v>
      </c>
    </row>
    <row r="1135" spans="1:3" ht="13" x14ac:dyDescent="0.15">
      <c r="A1135">
        <v>56</v>
      </c>
      <c r="B1135">
        <v>270167000</v>
      </c>
      <c r="C1135">
        <v>1</v>
      </c>
    </row>
    <row r="1136" spans="1:3" ht="13" x14ac:dyDescent="0.15">
      <c r="A1136">
        <v>56</v>
      </c>
      <c r="B1136">
        <v>270168000</v>
      </c>
      <c r="C1136">
        <v>4</v>
      </c>
    </row>
    <row r="1137" spans="1:3" ht="13" x14ac:dyDescent="0.15">
      <c r="A1137">
        <v>56</v>
      </c>
      <c r="B1137">
        <v>270172000</v>
      </c>
      <c r="C1137">
        <v>3</v>
      </c>
    </row>
    <row r="1138" spans="1:3" ht="13" x14ac:dyDescent="0.15">
      <c r="A1138">
        <v>56</v>
      </c>
      <c r="B1138">
        <v>270180000</v>
      </c>
      <c r="C1138">
        <v>1</v>
      </c>
    </row>
    <row r="1139" spans="1:3" ht="13" x14ac:dyDescent="0.15">
      <c r="A1139">
        <v>56</v>
      </c>
      <c r="B1139">
        <v>270204000</v>
      </c>
      <c r="C1139">
        <v>3</v>
      </c>
    </row>
    <row r="1140" spans="1:3" ht="13" x14ac:dyDescent="0.15">
      <c r="A1140">
        <v>56</v>
      </c>
      <c r="B1140">
        <v>270217000</v>
      </c>
      <c r="C1140">
        <v>2</v>
      </c>
    </row>
    <row r="1141" spans="1:3" ht="13" x14ac:dyDescent="0.15">
      <c r="A1141">
        <v>56</v>
      </c>
      <c r="B1141">
        <v>270242000</v>
      </c>
      <c r="C1141">
        <v>1</v>
      </c>
    </row>
    <row r="1142" spans="1:3" ht="13" x14ac:dyDescent="0.15">
      <c r="A1142">
        <v>56</v>
      </c>
      <c r="B1142">
        <v>270271000</v>
      </c>
      <c r="C1142">
        <v>3</v>
      </c>
    </row>
    <row r="1143" spans="1:3" ht="13" x14ac:dyDescent="0.15">
      <c r="A1143">
        <v>56</v>
      </c>
      <c r="B1143">
        <v>270273000</v>
      </c>
      <c r="C1143">
        <v>1</v>
      </c>
    </row>
    <row r="1144" spans="1:3" ht="13" x14ac:dyDescent="0.15">
      <c r="A1144">
        <v>56</v>
      </c>
      <c r="B1144">
        <v>270275000</v>
      </c>
      <c r="C1144">
        <v>1</v>
      </c>
    </row>
    <row r="1145" spans="1:3" ht="13" x14ac:dyDescent="0.15">
      <c r="A1145">
        <v>56</v>
      </c>
      <c r="B1145">
        <v>270276000</v>
      </c>
      <c r="C1145">
        <v>3</v>
      </c>
    </row>
    <row r="1146" spans="1:3" ht="13" x14ac:dyDescent="0.15">
      <c r="A1146">
        <v>56</v>
      </c>
      <c r="B1146">
        <v>270277000</v>
      </c>
      <c r="C1146">
        <v>1</v>
      </c>
    </row>
    <row r="1147" spans="1:3" ht="13" x14ac:dyDescent="0.15">
      <c r="A1147">
        <v>56</v>
      </c>
      <c r="B1147">
        <v>270280000</v>
      </c>
      <c r="C1147">
        <v>2</v>
      </c>
    </row>
    <row r="1148" spans="1:3" ht="13" x14ac:dyDescent="0.15">
      <c r="A1148">
        <v>56</v>
      </c>
      <c r="B1148">
        <v>270281000</v>
      </c>
      <c r="C1148">
        <v>2</v>
      </c>
    </row>
    <row r="1149" spans="1:3" ht="13" x14ac:dyDescent="0.15">
      <c r="A1149">
        <v>56</v>
      </c>
      <c r="B1149">
        <v>270282000</v>
      </c>
      <c r="C1149">
        <v>3</v>
      </c>
    </row>
    <row r="1150" spans="1:3" ht="13" x14ac:dyDescent="0.15">
      <c r="A1150">
        <v>56</v>
      </c>
      <c r="B1150">
        <v>270285000</v>
      </c>
      <c r="C1150">
        <v>1</v>
      </c>
    </row>
    <row r="1151" spans="1:3" ht="13" x14ac:dyDescent="0.15">
      <c r="A1151">
        <v>56</v>
      </c>
      <c r="B1151">
        <v>270286000</v>
      </c>
      <c r="C1151">
        <v>12</v>
      </c>
    </row>
    <row r="1152" spans="1:3" ht="13" x14ac:dyDescent="0.15">
      <c r="A1152">
        <v>56</v>
      </c>
      <c r="B1152">
        <v>270303000</v>
      </c>
      <c r="C1152">
        <v>2</v>
      </c>
    </row>
    <row r="1153" spans="1:3" ht="13" x14ac:dyDescent="0.15">
      <c r="A1153">
        <v>56</v>
      </c>
      <c r="B1153">
        <v>270304000</v>
      </c>
      <c r="C1153">
        <v>2</v>
      </c>
    </row>
    <row r="1154" spans="1:3" ht="13" x14ac:dyDescent="0.15">
      <c r="A1154">
        <v>56</v>
      </c>
      <c r="B1154">
        <v>270310000</v>
      </c>
      <c r="C1154">
        <v>1</v>
      </c>
    </row>
    <row r="1155" spans="1:3" ht="13" x14ac:dyDescent="0.15">
      <c r="A1155">
        <v>56</v>
      </c>
      <c r="B1155">
        <v>270316000</v>
      </c>
      <c r="C1155">
        <v>6</v>
      </c>
    </row>
    <row r="1156" spans="1:3" ht="13" x14ac:dyDescent="0.15">
      <c r="A1156">
        <v>56</v>
      </c>
      <c r="B1156">
        <v>270328000</v>
      </c>
      <c r="C1156">
        <v>11</v>
      </c>
    </row>
    <row r="1157" spans="1:3" ht="13" x14ac:dyDescent="0.15">
      <c r="A1157">
        <v>56</v>
      </c>
      <c r="B1157">
        <v>270330000</v>
      </c>
      <c r="C1157">
        <v>1</v>
      </c>
    </row>
    <row r="1158" spans="1:3" ht="13" x14ac:dyDescent="0.15">
      <c r="A1158">
        <v>56</v>
      </c>
      <c r="B1158">
        <v>270358000</v>
      </c>
      <c r="C1158">
        <v>1</v>
      </c>
    </row>
    <row r="1159" spans="1:3" ht="13" x14ac:dyDescent="0.15">
      <c r="A1159">
        <v>56</v>
      </c>
      <c r="B1159">
        <v>270403000</v>
      </c>
      <c r="C1159">
        <v>1</v>
      </c>
    </row>
    <row r="1160" spans="1:3" ht="13" x14ac:dyDescent="0.15">
      <c r="A1160">
        <v>56</v>
      </c>
      <c r="B1160">
        <v>270405000</v>
      </c>
      <c r="C1160">
        <v>1</v>
      </c>
    </row>
    <row r="1161" spans="1:3" ht="13" x14ac:dyDescent="0.15">
      <c r="A1161">
        <v>56</v>
      </c>
      <c r="B1161">
        <v>270408000</v>
      </c>
      <c r="C1161">
        <v>1</v>
      </c>
    </row>
    <row r="1162" spans="1:3" ht="13" x14ac:dyDescent="0.15">
      <c r="A1162">
        <v>56</v>
      </c>
      <c r="B1162">
        <v>270411000</v>
      </c>
      <c r="C1162">
        <v>5</v>
      </c>
    </row>
    <row r="1163" spans="1:3" ht="13" x14ac:dyDescent="0.15">
      <c r="A1163">
        <v>56</v>
      </c>
      <c r="B1163">
        <v>270710000</v>
      </c>
      <c r="C1163">
        <v>9</v>
      </c>
    </row>
    <row r="1164" spans="1:3" ht="13" x14ac:dyDescent="0.15">
      <c r="A1164">
        <v>56</v>
      </c>
      <c r="B1164">
        <v>270716000</v>
      </c>
      <c r="C1164">
        <v>1</v>
      </c>
    </row>
    <row r="1165" spans="1:3" ht="13" x14ac:dyDescent="0.15">
      <c r="A1165">
        <v>56</v>
      </c>
      <c r="B1165">
        <v>270717000</v>
      </c>
      <c r="C1165">
        <v>1</v>
      </c>
    </row>
    <row r="1166" spans="1:3" ht="13" x14ac:dyDescent="0.15">
      <c r="A1166">
        <v>56</v>
      </c>
      <c r="B1166">
        <v>270805000</v>
      </c>
      <c r="C1166">
        <v>5</v>
      </c>
    </row>
    <row r="1167" spans="1:3" ht="13" x14ac:dyDescent="0.15">
      <c r="A1167">
        <v>56</v>
      </c>
      <c r="B1167">
        <v>270810000</v>
      </c>
      <c r="C1167">
        <v>1</v>
      </c>
    </row>
    <row r="1168" spans="1:3" ht="13" x14ac:dyDescent="0.15">
      <c r="A1168">
        <v>56</v>
      </c>
      <c r="B1168">
        <v>270903000</v>
      </c>
      <c r="C1168">
        <v>1</v>
      </c>
    </row>
    <row r="1169" spans="1:3" ht="13" x14ac:dyDescent="0.15">
      <c r="A1169">
        <v>56</v>
      </c>
      <c r="B1169">
        <v>270904000</v>
      </c>
      <c r="C1169">
        <v>1</v>
      </c>
    </row>
    <row r="1170" spans="1:3" ht="13" x14ac:dyDescent="0.15">
      <c r="A1170">
        <v>56</v>
      </c>
      <c r="B1170">
        <v>270905000</v>
      </c>
      <c r="C1170">
        <v>1</v>
      </c>
    </row>
    <row r="1171" spans="1:3" ht="13" x14ac:dyDescent="0.15">
      <c r="A1171">
        <v>56</v>
      </c>
      <c r="B1171">
        <v>270910000</v>
      </c>
      <c r="C1171">
        <v>2</v>
      </c>
    </row>
    <row r="1172" spans="1:3" ht="13" x14ac:dyDescent="0.15">
      <c r="A1172">
        <v>56</v>
      </c>
      <c r="B1172">
        <v>271020000</v>
      </c>
      <c r="C1172">
        <v>6</v>
      </c>
    </row>
    <row r="1173" spans="1:3" ht="13" x14ac:dyDescent="0.15">
      <c r="A1173">
        <v>56</v>
      </c>
      <c r="B1173">
        <v>271074000</v>
      </c>
      <c r="C1173">
        <v>6</v>
      </c>
    </row>
    <row r="1174" spans="1:3" ht="13" x14ac:dyDescent="0.15">
      <c r="A1174">
        <v>56</v>
      </c>
      <c r="B1174">
        <v>271207000</v>
      </c>
      <c r="C1174">
        <v>15</v>
      </c>
    </row>
    <row r="1175" spans="1:3" ht="13" x14ac:dyDescent="0.15">
      <c r="A1175">
        <v>56</v>
      </c>
      <c r="B1175">
        <v>271212000</v>
      </c>
      <c r="C1175">
        <v>5</v>
      </c>
    </row>
    <row r="1176" spans="1:3" ht="13" x14ac:dyDescent="0.15">
      <c r="A1176">
        <v>56</v>
      </c>
      <c r="B1176">
        <v>271213000</v>
      </c>
      <c r="C1176">
        <v>4</v>
      </c>
    </row>
    <row r="1177" spans="1:3" ht="13" x14ac:dyDescent="0.15">
      <c r="A1177">
        <v>56</v>
      </c>
      <c r="B1177">
        <v>271215000</v>
      </c>
      <c r="C1177">
        <v>3</v>
      </c>
    </row>
    <row r="1178" spans="1:3" ht="13" x14ac:dyDescent="0.15">
      <c r="A1178">
        <v>56</v>
      </c>
      <c r="B1178">
        <v>271216000</v>
      </c>
      <c r="C1178">
        <v>4</v>
      </c>
    </row>
    <row r="1179" spans="1:3" ht="13" x14ac:dyDescent="0.15">
      <c r="A1179">
        <v>56</v>
      </c>
      <c r="B1179">
        <v>271221000</v>
      </c>
      <c r="C1179">
        <v>3</v>
      </c>
    </row>
    <row r="1180" spans="1:3" ht="13" x14ac:dyDescent="0.15">
      <c r="A1180">
        <v>56</v>
      </c>
      <c r="B1180">
        <v>271244000</v>
      </c>
      <c r="C1180">
        <v>2</v>
      </c>
    </row>
    <row r="1181" spans="1:3" ht="13" x14ac:dyDescent="0.15">
      <c r="A1181">
        <v>56</v>
      </c>
      <c r="B1181">
        <v>271260000</v>
      </c>
      <c r="C1181">
        <v>1</v>
      </c>
    </row>
    <row r="1182" spans="1:3" ht="13" x14ac:dyDescent="0.15">
      <c r="A1182">
        <v>56</v>
      </c>
      <c r="B1182">
        <v>271301000</v>
      </c>
      <c r="C1182">
        <v>3</v>
      </c>
    </row>
    <row r="1183" spans="1:3" ht="13" x14ac:dyDescent="0.15">
      <c r="A1183">
        <v>56</v>
      </c>
      <c r="B1183">
        <v>271302000</v>
      </c>
      <c r="C1183">
        <v>1</v>
      </c>
    </row>
    <row r="1184" spans="1:3" ht="13" x14ac:dyDescent="0.15">
      <c r="A1184">
        <v>56</v>
      </c>
      <c r="B1184">
        <v>271453000</v>
      </c>
      <c r="C1184">
        <v>1</v>
      </c>
    </row>
    <row r="1185" spans="1:3" ht="13" x14ac:dyDescent="0.15">
      <c r="A1185">
        <v>56</v>
      </c>
      <c r="B1185">
        <v>271454000</v>
      </c>
      <c r="C1185">
        <v>1</v>
      </c>
    </row>
    <row r="1186" spans="1:3" ht="13" x14ac:dyDescent="0.15">
      <c r="A1186">
        <v>56</v>
      </c>
      <c r="B1186">
        <v>271455000</v>
      </c>
      <c r="C1186">
        <v>1</v>
      </c>
    </row>
    <row r="1187" spans="1:3" ht="13" x14ac:dyDescent="0.15">
      <c r="A1187">
        <v>56</v>
      </c>
      <c r="B1187">
        <v>271503000</v>
      </c>
      <c r="C1187">
        <v>4</v>
      </c>
    </row>
    <row r="1188" spans="1:3" ht="13" x14ac:dyDescent="0.15">
      <c r="A1188">
        <v>56</v>
      </c>
      <c r="B1188">
        <v>271512000</v>
      </c>
      <c r="C1188">
        <v>2</v>
      </c>
    </row>
    <row r="1189" spans="1:3" ht="13" x14ac:dyDescent="0.15">
      <c r="A1189">
        <v>56</v>
      </c>
      <c r="B1189">
        <v>271513000</v>
      </c>
      <c r="C1189">
        <v>1</v>
      </c>
    </row>
    <row r="1190" spans="1:3" ht="13" x14ac:dyDescent="0.15">
      <c r="A1190">
        <v>56</v>
      </c>
      <c r="B1190">
        <v>271514000</v>
      </c>
      <c r="C1190">
        <v>2</v>
      </c>
    </row>
    <row r="1191" spans="1:3" ht="13" x14ac:dyDescent="0.15">
      <c r="A1191">
        <v>56</v>
      </c>
      <c r="B1191">
        <v>271711000</v>
      </c>
      <c r="C1191">
        <v>1</v>
      </c>
    </row>
    <row r="1192" spans="1:3" ht="13" x14ac:dyDescent="0.15">
      <c r="A1192">
        <v>56</v>
      </c>
      <c r="B1192">
        <v>277143000</v>
      </c>
      <c r="C1192">
        <v>1</v>
      </c>
    </row>
    <row r="1193" spans="1:3" ht="13" x14ac:dyDescent="0.15">
      <c r="A1193">
        <v>59</v>
      </c>
      <c r="B1193">
        <v>270204000</v>
      </c>
      <c r="C1193">
        <v>3</v>
      </c>
    </row>
    <row r="1194" spans="1:3" ht="13" x14ac:dyDescent="0.15">
      <c r="A1194">
        <v>59</v>
      </c>
      <c r="B1194">
        <v>270217000</v>
      </c>
      <c r="C1194">
        <v>1</v>
      </c>
    </row>
    <row r="1195" spans="1:3" ht="13" x14ac:dyDescent="0.15">
      <c r="A1195">
        <v>59</v>
      </c>
      <c r="B1195">
        <v>270310000</v>
      </c>
      <c r="C1195">
        <v>1</v>
      </c>
    </row>
    <row r="1196" spans="1:3" ht="13" x14ac:dyDescent="0.15">
      <c r="A1196">
        <v>59</v>
      </c>
      <c r="B1196">
        <v>270316000</v>
      </c>
      <c r="C1196">
        <v>1</v>
      </c>
    </row>
    <row r="1197" spans="1:3" ht="13" x14ac:dyDescent="0.15">
      <c r="A1197">
        <v>59</v>
      </c>
      <c r="B1197">
        <v>270328000</v>
      </c>
      <c r="C1197">
        <v>4</v>
      </c>
    </row>
    <row r="1198" spans="1:3" ht="13" x14ac:dyDescent="0.15">
      <c r="A1198">
        <v>59</v>
      </c>
      <c r="B1198">
        <v>270710000</v>
      </c>
      <c r="C1198">
        <v>5</v>
      </c>
    </row>
    <row r="1199" spans="1:3" ht="13" x14ac:dyDescent="0.15">
      <c r="A1199">
        <v>59</v>
      </c>
      <c r="B1199">
        <v>270801000</v>
      </c>
      <c r="C1199">
        <v>1</v>
      </c>
    </row>
    <row r="1200" spans="1:3" ht="13" x14ac:dyDescent="0.15">
      <c r="A1200">
        <v>59</v>
      </c>
      <c r="B1200">
        <v>270803000</v>
      </c>
      <c r="C1200">
        <v>3</v>
      </c>
    </row>
    <row r="1201" spans="1:3" ht="13" x14ac:dyDescent="0.15">
      <c r="A1201">
        <v>59</v>
      </c>
      <c r="B1201">
        <v>270805000</v>
      </c>
      <c r="C1201">
        <v>1</v>
      </c>
    </row>
    <row r="1202" spans="1:3" ht="13" x14ac:dyDescent="0.15">
      <c r="A1202">
        <v>59</v>
      </c>
      <c r="B1202">
        <v>270810000</v>
      </c>
      <c r="C1202">
        <v>2</v>
      </c>
    </row>
    <row r="1203" spans="1:3" ht="13" x14ac:dyDescent="0.15">
      <c r="A1203">
        <v>59</v>
      </c>
      <c r="B1203">
        <v>270903000</v>
      </c>
      <c r="C1203">
        <v>1</v>
      </c>
    </row>
    <row r="1204" spans="1:3" ht="13" x14ac:dyDescent="0.15">
      <c r="A1204">
        <v>59</v>
      </c>
      <c r="B1204">
        <v>270910000</v>
      </c>
      <c r="C1204">
        <v>1</v>
      </c>
    </row>
    <row r="1205" spans="1:3" ht="13" x14ac:dyDescent="0.15">
      <c r="A1205">
        <v>59</v>
      </c>
      <c r="B1205">
        <v>270926000</v>
      </c>
      <c r="C1205">
        <v>4</v>
      </c>
    </row>
    <row r="1206" spans="1:3" ht="13" x14ac:dyDescent="0.15">
      <c r="A1206">
        <v>59</v>
      </c>
      <c r="B1206">
        <v>271005000</v>
      </c>
      <c r="C1206">
        <v>1</v>
      </c>
    </row>
    <row r="1207" spans="1:3" ht="13" x14ac:dyDescent="0.15">
      <c r="A1207">
        <v>59</v>
      </c>
      <c r="B1207">
        <v>271006000</v>
      </c>
      <c r="C1207">
        <v>1</v>
      </c>
    </row>
    <row r="1208" spans="1:3" ht="13" x14ac:dyDescent="0.15">
      <c r="A1208">
        <v>59</v>
      </c>
      <c r="B1208">
        <v>271010000</v>
      </c>
      <c r="C1208">
        <v>1</v>
      </c>
    </row>
    <row r="1209" spans="1:3" ht="13" x14ac:dyDescent="0.15">
      <c r="A1209">
        <v>59</v>
      </c>
      <c r="B1209">
        <v>271011000</v>
      </c>
      <c r="C1209">
        <v>2</v>
      </c>
    </row>
    <row r="1210" spans="1:3" ht="13" x14ac:dyDescent="0.15">
      <c r="A1210">
        <v>59</v>
      </c>
      <c r="B1210">
        <v>271020000</v>
      </c>
      <c r="C1210">
        <v>2</v>
      </c>
    </row>
    <row r="1211" spans="1:3" ht="13" x14ac:dyDescent="0.15">
      <c r="A1211">
        <v>59</v>
      </c>
      <c r="B1211">
        <v>271021000</v>
      </c>
      <c r="C1211">
        <v>1</v>
      </c>
    </row>
    <row r="1212" spans="1:3" ht="13" x14ac:dyDescent="0.15">
      <c r="A1212">
        <v>59</v>
      </c>
      <c r="B1212">
        <v>271059000</v>
      </c>
      <c r="C1212">
        <v>5</v>
      </c>
    </row>
    <row r="1213" spans="1:3" ht="13" x14ac:dyDescent="0.15">
      <c r="A1213">
        <v>59</v>
      </c>
      <c r="B1213">
        <v>271074000</v>
      </c>
      <c r="C1213">
        <v>5</v>
      </c>
    </row>
    <row r="1214" spans="1:3" ht="13" x14ac:dyDescent="0.15">
      <c r="A1214">
        <v>59</v>
      </c>
      <c r="B1214">
        <v>271206000</v>
      </c>
      <c r="C1214">
        <v>5</v>
      </c>
    </row>
    <row r="1215" spans="1:3" ht="13" x14ac:dyDescent="0.15">
      <c r="A1215">
        <v>59</v>
      </c>
      <c r="B1215">
        <v>271207000</v>
      </c>
      <c r="C1215">
        <v>3</v>
      </c>
    </row>
    <row r="1216" spans="1:3" ht="13" x14ac:dyDescent="0.15">
      <c r="A1216">
        <v>59</v>
      </c>
      <c r="B1216">
        <v>271214000</v>
      </c>
      <c r="C1216">
        <v>2</v>
      </c>
    </row>
    <row r="1217" spans="1:3" ht="13" x14ac:dyDescent="0.15">
      <c r="A1217">
        <v>59</v>
      </c>
      <c r="B1217">
        <v>271215000</v>
      </c>
      <c r="C1217">
        <v>3</v>
      </c>
    </row>
    <row r="1218" spans="1:3" ht="13" x14ac:dyDescent="0.15">
      <c r="A1218">
        <v>59</v>
      </c>
      <c r="B1218">
        <v>271221000</v>
      </c>
      <c r="C1218">
        <v>3</v>
      </c>
    </row>
    <row r="1219" spans="1:3" ht="13" x14ac:dyDescent="0.15">
      <c r="A1219">
        <v>59</v>
      </c>
      <c r="B1219">
        <v>271302000</v>
      </c>
      <c r="C1219">
        <v>1</v>
      </c>
    </row>
    <row r="1220" spans="1:3" ht="13" x14ac:dyDescent="0.15">
      <c r="A1220">
        <v>59</v>
      </c>
      <c r="B1220">
        <v>271455000</v>
      </c>
      <c r="C1220">
        <v>1</v>
      </c>
    </row>
    <row r="1221" spans="1:3" ht="13" x14ac:dyDescent="0.15">
      <c r="A1221">
        <v>59</v>
      </c>
      <c r="B1221">
        <v>271503000</v>
      </c>
      <c r="C1221">
        <v>1</v>
      </c>
    </row>
    <row r="1222" spans="1:3" ht="13" x14ac:dyDescent="0.15">
      <c r="A1222">
        <v>59</v>
      </c>
      <c r="B1222">
        <v>271512000</v>
      </c>
      <c r="C1222">
        <v>3</v>
      </c>
    </row>
    <row r="1223" spans="1:3" ht="13" x14ac:dyDescent="0.15">
      <c r="A1223">
        <v>59</v>
      </c>
      <c r="B1223">
        <v>271514000</v>
      </c>
      <c r="C1223">
        <v>2</v>
      </c>
    </row>
    <row r="1224" spans="1:3" ht="13" x14ac:dyDescent="0.15">
      <c r="A1224">
        <v>59</v>
      </c>
      <c r="B1224">
        <v>271612000</v>
      </c>
      <c r="C1224">
        <v>3</v>
      </c>
    </row>
    <row r="1225" spans="1:3" ht="13" x14ac:dyDescent="0.15">
      <c r="A1225">
        <v>60</v>
      </c>
      <c r="B1225">
        <v>270140000</v>
      </c>
      <c r="C1225">
        <v>2</v>
      </c>
    </row>
    <row r="1226" spans="1:3" ht="13" x14ac:dyDescent="0.15">
      <c r="A1226">
        <v>60</v>
      </c>
      <c r="B1226">
        <v>270204000</v>
      </c>
      <c r="C1226">
        <v>2</v>
      </c>
    </row>
    <row r="1227" spans="1:3" ht="13" x14ac:dyDescent="0.15">
      <c r="A1227">
        <v>60</v>
      </c>
      <c r="B1227">
        <v>270217000</v>
      </c>
      <c r="C1227">
        <v>2</v>
      </c>
    </row>
    <row r="1228" spans="1:3" ht="13" x14ac:dyDescent="0.15">
      <c r="A1228">
        <v>60</v>
      </c>
      <c r="B1228">
        <v>270304000</v>
      </c>
      <c r="C1228">
        <v>1</v>
      </c>
    </row>
    <row r="1229" spans="1:3" ht="13" x14ac:dyDescent="0.15">
      <c r="A1229">
        <v>60</v>
      </c>
      <c r="B1229">
        <v>270310000</v>
      </c>
      <c r="C1229">
        <v>1</v>
      </c>
    </row>
    <row r="1230" spans="1:3" ht="13" x14ac:dyDescent="0.15">
      <c r="A1230">
        <v>60</v>
      </c>
      <c r="B1230">
        <v>270316000</v>
      </c>
      <c r="C1230">
        <v>2</v>
      </c>
    </row>
    <row r="1231" spans="1:3" ht="13" x14ac:dyDescent="0.15">
      <c r="A1231">
        <v>60</v>
      </c>
      <c r="B1231">
        <v>270328000</v>
      </c>
      <c r="C1231">
        <v>2</v>
      </c>
    </row>
    <row r="1232" spans="1:3" ht="13" x14ac:dyDescent="0.15">
      <c r="A1232">
        <v>60</v>
      </c>
      <c r="B1232">
        <v>270330000</v>
      </c>
      <c r="C1232">
        <v>1</v>
      </c>
    </row>
    <row r="1233" spans="1:3" ht="13" x14ac:dyDescent="0.15">
      <c r="A1233">
        <v>60</v>
      </c>
      <c r="B1233">
        <v>270403000</v>
      </c>
      <c r="C1233">
        <v>2</v>
      </c>
    </row>
    <row r="1234" spans="1:3" ht="13" x14ac:dyDescent="0.15">
      <c r="A1234">
        <v>60</v>
      </c>
      <c r="B1234">
        <v>270412000</v>
      </c>
      <c r="C1234">
        <v>3</v>
      </c>
    </row>
    <row r="1235" spans="1:3" ht="13" x14ac:dyDescent="0.15">
      <c r="A1235">
        <v>60</v>
      </c>
      <c r="B1235">
        <v>270710000</v>
      </c>
      <c r="C1235">
        <v>5</v>
      </c>
    </row>
    <row r="1236" spans="1:3" ht="13" x14ac:dyDescent="0.15">
      <c r="A1236">
        <v>60</v>
      </c>
      <c r="B1236">
        <v>270801000</v>
      </c>
      <c r="C1236">
        <v>1</v>
      </c>
    </row>
    <row r="1237" spans="1:3" ht="13" x14ac:dyDescent="0.15">
      <c r="A1237">
        <v>60</v>
      </c>
      <c r="B1237">
        <v>270803000</v>
      </c>
      <c r="C1237">
        <v>2</v>
      </c>
    </row>
    <row r="1238" spans="1:3" ht="13" x14ac:dyDescent="0.15">
      <c r="A1238">
        <v>60</v>
      </c>
      <c r="B1238">
        <v>270810000</v>
      </c>
      <c r="C1238">
        <v>3</v>
      </c>
    </row>
    <row r="1239" spans="1:3" ht="13" x14ac:dyDescent="0.15">
      <c r="A1239">
        <v>60</v>
      </c>
      <c r="B1239">
        <v>270903000</v>
      </c>
      <c r="C1239">
        <v>1</v>
      </c>
    </row>
    <row r="1240" spans="1:3" ht="13" x14ac:dyDescent="0.15">
      <c r="A1240">
        <v>60</v>
      </c>
      <c r="B1240">
        <v>270906000</v>
      </c>
      <c r="C1240">
        <v>1</v>
      </c>
    </row>
    <row r="1241" spans="1:3" ht="13" x14ac:dyDescent="0.15">
      <c r="A1241">
        <v>60</v>
      </c>
      <c r="B1241">
        <v>270910000</v>
      </c>
      <c r="C1241">
        <v>2</v>
      </c>
    </row>
    <row r="1242" spans="1:3" ht="13" x14ac:dyDescent="0.15">
      <c r="A1242">
        <v>60</v>
      </c>
      <c r="B1242">
        <v>270926000</v>
      </c>
      <c r="C1242">
        <v>4</v>
      </c>
    </row>
    <row r="1243" spans="1:3" ht="13" x14ac:dyDescent="0.15">
      <c r="A1243">
        <v>60</v>
      </c>
      <c r="B1243">
        <v>271002000</v>
      </c>
      <c r="C1243">
        <v>2</v>
      </c>
    </row>
    <row r="1244" spans="1:3" ht="13" x14ac:dyDescent="0.15">
      <c r="A1244">
        <v>60</v>
      </c>
      <c r="B1244">
        <v>271005000</v>
      </c>
      <c r="C1244">
        <v>2</v>
      </c>
    </row>
    <row r="1245" spans="1:3" ht="13" x14ac:dyDescent="0.15">
      <c r="A1245">
        <v>60</v>
      </c>
      <c r="B1245">
        <v>271006000</v>
      </c>
      <c r="C1245">
        <v>1</v>
      </c>
    </row>
    <row r="1246" spans="1:3" ht="13" x14ac:dyDescent="0.15">
      <c r="A1246">
        <v>60</v>
      </c>
      <c r="B1246">
        <v>271008000</v>
      </c>
      <c r="C1246">
        <v>1</v>
      </c>
    </row>
    <row r="1247" spans="1:3" ht="13" x14ac:dyDescent="0.15">
      <c r="A1247">
        <v>60</v>
      </c>
      <c r="B1247">
        <v>271010000</v>
      </c>
      <c r="C1247">
        <v>2</v>
      </c>
    </row>
    <row r="1248" spans="1:3" ht="13" x14ac:dyDescent="0.15">
      <c r="A1248">
        <v>60</v>
      </c>
      <c r="B1248">
        <v>271011000</v>
      </c>
      <c r="C1248">
        <v>4</v>
      </c>
    </row>
    <row r="1249" spans="1:3" ht="13" x14ac:dyDescent="0.15">
      <c r="A1249">
        <v>60</v>
      </c>
      <c r="B1249">
        <v>271020000</v>
      </c>
      <c r="C1249">
        <v>2</v>
      </c>
    </row>
    <row r="1250" spans="1:3" ht="13" x14ac:dyDescent="0.15">
      <c r="A1250">
        <v>60</v>
      </c>
      <c r="B1250">
        <v>271021000</v>
      </c>
      <c r="C1250">
        <v>3</v>
      </c>
    </row>
    <row r="1251" spans="1:3" ht="13" x14ac:dyDescent="0.15">
      <c r="A1251">
        <v>60</v>
      </c>
      <c r="B1251">
        <v>271059000</v>
      </c>
      <c r="C1251">
        <v>5</v>
      </c>
    </row>
    <row r="1252" spans="1:3" ht="13" x14ac:dyDescent="0.15">
      <c r="A1252">
        <v>60</v>
      </c>
      <c r="B1252">
        <v>271074000</v>
      </c>
      <c r="C1252">
        <v>3</v>
      </c>
    </row>
    <row r="1253" spans="1:3" ht="13" x14ac:dyDescent="0.15">
      <c r="A1253">
        <v>60</v>
      </c>
      <c r="B1253">
        <v>271206000</v>
      </c>
      <c r="C1253">
        <v>7</v>
      </c>
    </row>
    <row r="1254" spans="1:3" ht="13" x14ac:dyDescent="0.15">
      <c r="A1254">
        <v>60</v>
      </c>
      <c r="B1254">
        <v>271207000</v>
      </c>
      <c r="C1254">
        <v>7</v>
      </c>
    </row>
    <row r="1255" spans="1:3" ht="13" x14ac:dyDescent="0.15">
      <c r="A1255">
        <v>60</v>
      </c>
      <c r="B1255">
        <v>271214000</v>
      </c>
      <c r="C1255">
        <v>4</v>
      </c>
    </row>
    <row r="1256" spans="1:3" ht="13" x14ac:dyDescent="0.15">
      <c r="A1256">
        <v>60</v>
      </c>
      <c r="B1256">
        <v>271215000</v>
      </c>
      <c r="C1256">
        <v>4</v>
      </c>
    </row>
    <row r="1257" spans="1:3" ht="13" x14ac:dyDescent="0.15">
      <c r="A1257">
        <v>60</v>
      </c>
      <c r="B1257">
        <v>271221000</v>
      </c>
      <c r="C1257">
        <v>1</v>
      </c>
    </row>
    <row r="1258" spans="1:3" ht="13" x14ac:dyDescent="0.15">
      <c r="A1258">
        <v>60</v>
      </c>
      <c r="B1258">
        <v>271259000</v>
      </c>
      <c r="C1258">
        <v>1</v>
      </c>
    </row>
    <row r="1259" spans="1:3" ht="13" x14ac:dyDescent="0.15">
      <c r="A1259">
        <v>60</v>
      </c>
      <c r="B1259">
        <v>271503000</v>
      </c>
      <c r="C1259">
        <v>2</v>
      </c>
    </row>
    <row r="1260" spans="1:3" ht="13" x14ac:dyDescent="0.15">
      <c r="A1260">
        <v>60</v>
      </c>
      <c r="B1260">
        <v>271612000</v>
      </c>
      <c r="C1260">
        <v>1</v>
      </c>
    </row>
    <row r="1261" spans="1:3" ht="13" x14ac:dyDescent="0.15">
      <c r="A1261">
        <v>61</v>
      </c>
      <c r="B1261">
        <v>270140000</v>
      </c>
      <c r="C1261">
        <v>1</v>
      </c>
    </row>
    <row r="1262" spans="1:3" ht="13" x14ac:dyDescent="0.15">
      <c r="A1262">
        <v>61</v>
      </c>
      <c r="B1262">
        <v>270204000</v>
      </c>
      <c r="C1262">
        <v>1</v>
      </c>
    </row>
    <row r="1263" spans="1:3" ht="13" x14ac:dyDescent="0.15">
      <c r="A1263">
        <v>61</v>
      </c>
      <c r="B1263">
        <v>270217000</v>
      </c>
      <c r="C1263">
        <v>1</v>
      </c>
    </row>
    <row r="1264" spans="1:3" ht="13" x14ac:dyDescent="0.15">
      <c r="A1264">
        <v>61</v>
      </c>
      <c r="B1264">
        <v>270316000</v>
      </c>
      <c r="C1264">
        <v>3</v>
      </c>
    </row>
    <row r="1265" spans="1:3" ht="13" x14ac:dyDescent="0.15">
      <c r="A1265">
        <v>61</v>
      </c>
      <c r="B1265">
        <v>270328000</v>
      </c>
      <c r="C1265">
        <v>3</v>
      </c>
    </row>
    <row r="1266" spans="1:3" ht="13" x14ac:dyDescent="0.15">
      <c r="A1266">
        <v>61</v>
      </c>
      <c r="B1266">
        <v>270403000</v>
      </c>
      <c r="C1266">
        <v>1</v>
      </c>
    </row>
    <row r="1267" spans="1:3" ht="13" x14ac:dyDescent="0.15">
      <c r="A1267">
        <v>61</v>
      </c>
      <c r="B1267">
        <v>270412000</v>
      </c>
      <c r="C1267">
        <v>1</v>
      </c>
    </row>
    <row r="1268" spans="1:3" ht="13" x14ac:dyDescent="0.15">
      <c r="A1268">
        <v>61</v>
      </c>
      <c r="B1268">
        <v>270710000</v>
      </c>
      <c r="C1268">
        <v>5</v>
      </c>
    </row>
    <row r="1269" spans="1:3" ht="13" x14ac:dyDescent="0.15">
      <c r="A1269">
        <v>61</v>
      </c>
      <c r="B1269">
        <v>270801000</v>
      </c>
      <c r="C1269">
        <v>1</v>
      </c>
    </row>
    <row r="1270" spans="1:3" ht="13" x14ac:dyDescent="0.15">
      <c r="A1270">
        <v>61</v>
      </c>
      <c r="B1270">
        <v>270803000</v>
      </c>
      <c r="C1270">
        <v>1</v>
      </c>
    </row>
    <row r="1271" spans="1:3" ht="13" x14ac:dyDescent="0.15">
      <c r="A1271">
        <v>61</v>
      </c>
      <c r="B1271">
        <v>270805000</v>
      </c>
      <c r="C1271">
        <v>1</v>
      </c>
    </row>
    <row r="1272" spans="1:3" ht="13" x14ac:dyDescent="0.15">
      <c r="A1272">
        <v>61</v>
      </c>
      <c r="B1272">
        <v>270810000</v>
      </c>
      <c r="C1272">
        <v>3</v>
      </c>
    </row>
    <row r="1273" spans="1:3" ht="13" x14ac:dyDescent="0.15">
      <c r="A1273">
        <v>61</v>
      </c>
      <c r="B1273">
        <v>270903000</v>
      </c>
      <c r="C1273">
        <v>1</v>
      </c>
    </row>
    <row r="1274" spans="1:3" ht="13" x14ac:dyDescent="0.15">
      <c r="A1274">
        <v>61</v>
      </c>
      <c r="B1274">
        <v>270906000</v>
      </c>
      <c r="C1274">
        <v>1</v>
      </c>
    </row>
    <row r="1275" spans="1:3" ht="13" x14ac:dyDescent="0.15">
      <c r="A1275">
        <v>61</v>
      </c>
      <c r="B1275">
        <v>270910000</v>
      </c>
      <c r="C1275">
        <v>1</v>
      </c>
    </row>
    <row r="1276" spans="1:3" ht="13" x14ac:dyDescent="0.15">
      <c r="A1276">
        <v>61</v>
      </c>
      <c r="B1276">
        <v>270926000</v>
      </c>
      <c r="C1276">
        <v>1</v>
      </c>
    </row>
    <row r="1277" spans="1:3" ht="13" x14ac:dyDescent="0.15">
      <c r="A1277">
        <v>61</v>
      </c>
      <c r="B1277">
        <v>271002000</v>
      </c>
      <c r="C1277">
        <v>1</v>
      </c>
    </row>
    <row r="1278" spans="1:3" ht="13" x14ac:dyDescent="0.15">
      <c r="A1278">
        <v>61</v>
      </c>
      <c r="B1278">
        <v>271005000</v>
      </c>
      <c r="C1278">
        <v>1</v>
      </c>
    </row>
    <row r="1279" spans="1:3" ht="13" x14ac:dyDescent="0.15">
      <c r="A1279">
        <v>61</v>
      </c>
      <c r="B1279">
        <v>271006000</v>
      </c>
      <c r="C1279">
        <v>1</v>
      </c>
    </row>
    <row r="1280" spans="1:3" ht="13" x14ac:dyDescent="0.15">
      <c r="A1280">
        <v>61</v>
      </c>
      <c r="B1280">
        <v>271008000</v>
      </c>
      <c r="C1280">
        <v>1</v>
      </c>
    </row>
    <row r="1281" spans="1:3" ht="13" x14ac:dyDescent="0.15">
      <c r="A1281">
        <v>61</v>
      </c>
      <c r="B1281">
        <v>271010000</v>
      </c>
      <c r="C1281">
        <v>1</v>
      </c>
    </row>
    <row r="1282" spans="1:3" ht="13" x14ac:dyDescent="0.15">
      <c r="A1282">
        <v>61</v>
      </c>
      <c r="B1282">
        <v>271011000</v>
      </c>
      <c r="C1282">
        <v>2</v>
      </c>
    </row>
    <row r="1283" spans="1:3" ht="13" x14ac:dyDescent="0.15">
      <c r="A1283">
        <v>61</v>
      </c>
      <c r="B1283">
        <v>271020000</v>
      </c>
      <c r="C1283">
        <v>1</v>
      </c>
    </row>
    <row r="1284" spans="1:3" ht="13" x14ac:dyDescent="0.15">
      <c r="A1284">
        <v>61</v>
      </c>
      <c r="B1284">
        <v>271021000</v>
      </c>
      <c r="C1284">
        <v>1</v>
      </c>
    </row>
    <row r="1285" spans="1:3" ht="13" x14ac:dyDescent="0.15">
      <c r="A1285">
        <v>61</v>
      </c>
      <c r="B1285">
        <v>271059000</v>
      </c>
      <c r="C1285">
        <v>4</v>
      </c>
    </row>
    <row r="1286" spans="1:3" ht="13" x14ac:dyDescent="0.15">
      <c r="A1286">
        <v>61</v>
      </c>
      <c r="B1286">
        <v>271074000</v>
      </c>
      <c r="C1286">
        <v>2</v>
      </c>
    </row>
    <row r="1287" spans="1:3" ht="13" x14ac:dyDescent="0.15">
      <c r="A1287">
        <v>61</v>
      </c>
      <c r="B1287">
        <v>271206000</v>
      </c>
      <c r="C1287">
        <v>3</v>
      </c>
    </row>
    <row r="1288" spans="1:3" ht="13" x14ac:dyDescent="0.15">
      <c r="A1288">
        <v>61</v>
      </c>
      <c r="B1288">
        <v>271207000</v>
      </c>
      <c r="C1288">
        <v>3</v>
      </c>
    </row>
    <row r="1289" spans="1:3" ht="13" x14ac:dyDescent="0.15">
      <c r="A1289">
        <v>61</v>
      </c>
      <c r="B1289">
        <v>271214000</v>
      </c>
      <c r="C1289">
        <v>2</v>
      </c>
    </row>
    <row r="1290" spans="1:3" ht="13" x14ac:dyDescent="0.15">
      <c r="A1290">
        <v>61</v>
      </c>
      <c r="B1290">
        <v>271215000</v>
      </c>
      <c r="C1290">
        <v>2</v>
      </c>
    </row>
    <row r="1291" spans="1:3" ht="13" x14ac:dyDescent="0.15">
      <c r="A1291">
        <v>61</v>
      </c>
      <c r="B1291">
        <v>271221000</v>
      </c>
      <c r="C1291">
        <v>1</v>
      </c>
    </row>
    <row r="1292" spans="1:3" ht="13" x14ac:dyDescent="0.15">
      <c r="A1292">
        <v>61</v>
      </c>
      <c r="B1292">
        <v>271259000</v>
      </c>
      <c r="C1292">
        <v>1</v>
      </c>
    </row>
    <row r="1293" spans="1:3" ht="13" x14ac:dyDescent="0.15">
      <c r="A1293">
        <v>61</v>
      </c>
      <c r="B1293">
        <v>271503000</v>
      </c>
      <c r="C1293">
        <v>3</v>
      </c>
    </row>
    <row r="1294" spans="1:3" ht="13" x14ac:dyDescent="0.15">
      <c r="A1294">
        <v>61</v>
      </c>
      <c r="B1294">
        <v>271612000</v>
      </c>
      <c r="C1294">
        <v>1</v>
      </c>
    </row>
    <row r="1295" spans="1:3" ht="13" x14ac:dyDescent="0.15">
      <c r="A1295">
        <v>63</v>
      </c>
      <c r="B1295">
        <v>270217000</v>
      </c>
      <c r="C1295">
        <v>1</v>
      </c>
    </row>
    <row r="1296" spans="1:3" ht="13" x14ac:dyDescent="0.15">
      <c r="A1296">
        <v>63</v>
      </c>
      <c r="B1296">
        <v>270310000</v>
      </c>
      <c r="C1296">
        <v>1</v>
      </c>
    </row>
    <row r="1297" spans="1:3" ht="13" x14ac:dyDescent="0.15">
      <c r="A1297">
        <v>63</v>
      </c>
      <c r="B1297">
        <v>270316000</v>
      </c>
      <c r="C1297">
        <v>2</v>
      </c>
    </row>
    <row r="1298" spans="1:3" ht="13" x14ac:dyDescent="0.15">
      <c r="A1298">
        <v>63</v>
      </c>
      <c r="B1298">
        <v>270330000</v>
      </c>
      <c r="C1298">
        <v>1</v>
      </c>
    </row>
    <row r="1299" spans="1:3" ht="13" x14ac:dyDescent="0.15">
      <c r="A1299">
        <v>63</v>
      </c>
      <c r="B1299">
        <v>270412000</v>
      </c>
      <c r="C1299">
        <v>4</v>
      </c>
    </row>
    <row r="1300" spans="1:3" ht="13" x14ac:dyDescent="0.15">
      <c r="A1300">
        <v>63</v>
      </c>
      <c r="B1300">
        <v>270413000</v>
      </c>
      <c r="C1300">
        <v>1</v>
      </c>
    </row>
    <row r="1301" spans="1:3" ht="13" x14ac:dyDescent="0.15">
      <c r="A1301">
        <v>63</v>
      </c>
      <c r="B1301">
        <v>270710000</v>
      </c>
      <c r="C1301">
        <v>3</v>
      </c>
    </row>
    <row r="1302" spans="1:3" ht="13" x14ac:dyDescent="0.15">
      <c r="A1302">
        <v>63</v>
      </c>
      <c r="B1302">
        <v>270716000</v>
      </c>
      <c r="C1302">
        <v>3</v>
      </c>
    </row>
    <row r="1303" spans="1:3" ht="13" x14ac:dyDescent="0.15">
      <c r="A1303">
        <v>63</v>
      </c>
      <c r="B1303">
        <v>270801000</v>
      </c>
      <c r="C1303">
        <v>1</v>
      </c>
    </row>
    <row r="1304" spans="1:3" ht="13" x14ac:dyDescent="0.15">
      <c r="A1304">
        <v>63</v>
      </c>
      <c r="B1304">
        <v>270806000</v>
      </c>
      <c r="C1304">
        <v>1</v>
      </c>
    </row>
    <row r="1305" spans="1:3" ht="13" x14ac:dyDescent="0.15">
      <c r="A1305">
        <v>63</v>
      </c>
      <c r="B1305">
        <v>270810000</v>
      </c>
      <c r="C1305">
        <v>2</v>
      </c>
    </row>
    <row r="1306" spans="1:3" ht="13" x14ac:dyDescent="0.15">
      <c r="A1306">
        <v>63</v>
      </c>
      <c r="B1306">
        <v>270906000</v>
      </c>
      <c r="C1306">
        <v>1</v>
      </c>
    </row>
    <row r="1307" spans="1:3" ht="13" x14ac:dyDescent="0.15">
      <c r="A1307">
        <v>63</v>
      </c>
      <c r="B1307">
        <v>270910000</v>
      </c>
      <c r="C1307">
        <v>1</v>
      </c>
    </row>
    <row r="1308" spans="1:3" ht="13" x14ac:dyDescent="0.15">
      <c r="A1308">
        <v>63</v>
      </c>
      <c r="B1308">
        <v>270926000</v>
      </c>
      <c r="C1308">
        <v>3</v>
      </c>
    </row>
    <row r="1309" spans="1:3" ht="13" x14ac:dyDescent="0.15">
      <c r="A1309">
        <v>63</v>
      </c>
      <c r="B1309">
        <v>271002000</v>
      </c>
      <c r="C1309">
        <v>1</v>
      </c>
    </row>
    <row r="1310" spans="1:3" ht="13" x14ac:dyDescent="0.15">
      <c r="A1310">
        <v>63</v>
      </c>
      <c r="B1310">
        <v>271005000</v>
      </c>
      <c r="C1310">
        <v>1</v>
      </c>
    </row>
    <row r="1311" spans="1:3" ht="13" x14ac:dyDescent="0.15">
      <c r="A1311">
        <v>63</v>
      </c>
      <c r="B1311">
        <v>271006000</v>
      </c>
      <c r="C1311">
        <v>1</v>
      </c>
    </row>
    <row r="1312" spans="1:3" ht="13" x14ac:dyDescent="0.15">
      <c r="A1312">
        <v>63</v>
      </c>
      <c r="B1312">
        <v>271008000</v>
      </c>
      <c r="C1312">
        <v>1</v>
      </c>
    </row>
    <row r="1313" spans="1:3" ht="13" x14ac:dyDescent="0.15">
      <c r="A1313">
        <v>63</v>
      </c>
      <c r="B1313">
        <v>271010000</v>
      </c>
      <c r="C1313">
        <v>2</v>
      </c>
    </row>
    <row r="1314" spans="1:3" ht="13" x14ac:dyDescent="0.15">
      <c r="A1314">
        <v>63</v>
      </c>
      <c r="B1314">
        <v>271011000</v>
      </c>
      <c r="C1314">
        <v>2</v>
      </c>
    </row>
    <row r="1315" spans="1:3" ht="13" x14ac:dyDescent="0.15">
      <c r="A1315">
        <v>63</v>
      </c>
      <c r="B1315">
        <v>271020000</v>
      </c>
      <c r="C1315">
        <v>2</v>
      </c>
    </row>
    <row r="1316" spans="1:3" ht="13" x14ac:dyDescent="0.15">
      <c r="A1316">
        <v>63</v>
      </c>
      <c r="B1316">
        <v>271021000</v>
      </c>
      <c r="C1316">
        <v>1</v>
      </c>
    </row>
    <row r="1317" spans="1:3" ht="13" x14ac:dyDescent="0.15">
      <c r="A1317">
        <v>63</v>
      </c>
      <c r="B1317">
        <v>271059000</v>
      </c>
      <c r="C1317">
        <v>4</v>
      </c>
    </row>
    <row r="1318" spans="1:3" ht="13" x14ac:dyDescent="0.15">
      <c r="A1318">
        <v>63</v>
      </c>
      <c r="B1318">
        <v>271074000</v>
      </c>
      <c r="C1318">
        <v>1</v>
      </c>
    </row>
    <row r="1319" spans="1:3" ht="13" x14ac:dyDescent="0.15">
      <c r="A1319">
        <v>63</v>
      </c>
      <c r="B1319">
        <v>271206000</v>
      </c>
      <c r="C1319">
        <v>4</v>
      </c>
    </row>
    <row r="1320" spans="1:3" ht="13" x14ac:dyDescent="0.15">
      <c r="A1320">
        <v>63</v>
      </c>
      <c r="B1320">
        <v>271207000</v>
      </c>
      <c r="C1320">
        <v>4</v>
      </c>
    </row>
    <row r="1321" spans="1:3" ht="13" x14ac:dyDescent="0.15">
      <c r="A1321">
        <v>63</v>
      </c>
      <c r="B1321">
        <v>271215000</v>
      </c>
      <c r="C1321">
        <v>1</v>
      </c>
    </row>
    <row r="1322" spans="1:3" ht="13" x14ac:dyDescent="0.15">
      <c r="A1322">
        <v>63</v>
      </c>
      <c r="B1322">
        <v>271259000</v>
      </c>
      <c r="C1322">
        <v>1</v>
      </c>
    </row>
    <row r="1323" spans="1:3" ht="13" x14ac:dyDescent="0.15">
      <c r="A1323">
        <v>63</v>
      </c>
      <c r="B1323">
        <v>271503000</v>
      </c>
      <c r="C1323">
        <v>1</v>
      </c>
    </row>
    <row r="1324" spans="1:3" ht="13" x14ac:dyDescent="0.15">
      <c r="A1324">
        <v>63</v>
      </c>
      <c r="B1324">
        <v>271612000</v>
      </c>
      <c r="C1324">
        <v>1</v>
      </c>
    </row>
    <row r="1325" spans="1:3" ht="13" x14ac:dyDescent="0.15">
      <c r="A1325">
        <v>64</v>
      </c>
      <c r="B1325">
        <v>270303000</v>
      </c>
      <c r="C1325">
        <v>1</v>
      </c>
    </row>
    <row r="1326" spans="1:3" ht="13" x14ac:dyDescent="0.15">
      <c r="A1326">
        <v>64</v>
      </c>
      <c r="B1326">
        <v>270316000</v>
      </c>
      <c r="C1326">
        <v>2</v>
      </c>
    </row>
    <row r="1327" spans="1:3" ht="13" x14ac:dyDescent="0.15">
      <c r="A1327">
        <v>64</v>
      </c>
      <c r="B1327">
        <v>270328000</v>
      </c>
      <c r="C1327">
        <v>1</v>
      </c>
    </row>
    <row r="1328" spans="1:3" ht="13" x14ac:dyDescent="0.15">
      <c r="A1328">
        <v>64</v>
      </c>
      <c r="B1328">
        <v>270330000</v>
      </c>
      <c r="C1328">
        <v>1</v>
      </c>
    </row>
    <row r="1329" spans="1:3" ht="13" x14ac:dyDescent="0.15">
      <c r="A1329">
        <v>64</v>
      </c>
      <c r="B1329">
        <v>270412000</v>
      </c>
      <c r="C1329">
        <v>2</v>
      </c>
    </row>
    <row r="1330" spans="1:3" ht="13" x14ac:dyDescent="0.15">
      <c r="A1330">
        <v>64</v>
      </c>
      <c r="B1330">
        <v>270710000</v>
      </c>
      <c r="C1330">
        <v>2</v>
      </c>
    </row>
    <row r="1331" spans="1:3" ht="13" x14ac:dyDescent="0.15">
      <c r="A1331">
        <v>64</v>
      </c>
      <c r="B1331">
        <v>270716000</v>
      </c>
      <c r="C1331">
        <v>1</v>
      </c>
    </row>
    <row r="1332" spans="1:3" ht="13" x14ac:dyDescent="0.15">
      <c r="A1332">
        <v>64</v>
      </c>
      <c r="B1332">
        <v>270801000</v>
      </c>
      <c r="C1332">
        <v>1</v>
      </c>
    </row>
    <row r="1333" spans="1:3" ht="13" x14ac:dyDescent="0.15">
      <c r="A1333">
        <v>64</v>
      </c>
      <c r="B1333">
        <v>270805000</v>
      </c>
      <c r="C1333">
        <v>1</v>
      </c>
    </row>
    <row r="1334" spans="1:3" ht="13" x14ac:dyDescent="0.15">
      <c r="A1334">
        <v>64</v>
      </c>
      <c r="B1334">
        <v>270926000</v>
      </c>
      <c r="C1334">
        <v>1</v>
      </c>
    </row>
    <row r="1335" spans="1:3" ht="13" x14ac:dyDescent="0.15">
      <c r="A1335">
        <v>64</v>
      </c>
      <c r="B1335">
        <v>271006000</v>
      </c>
      <c r="C1335">
        <v>1</v>
      </c>
    </row>
    <row r="1336" spans="1:3" ht="13" x14ac:dyDescent="0.15">
      <c r="A1336">
        <v>64</v>
      </c>
      <c r="B1336">
        <v>271008000</v>
      </c>
      <c r="C1336">
        <v>1</v>
      </c>
    </row>
    <row r="1337" spans="1:3" ht="13" x14ac:dyDescent="0.15">
      <c r="A1337">
        <v>64</v>
      </c>
      <c r="B1337">
        <v>271011000</v>
      </c>
      <c r="C1337">
        <v>1</v>
      </c>
    </row>
    <row r="1338" spans="1:3" ht="13" x14ac:dyDescent="0.15">
      <c r="A1338">
        <v>64</v>
      </c>
      <c r="B1338">
        <v>271059000</v>
      </c>
      <c r="C1338">
        <v>2</v>
      </c>
    </row>
    <row r="1339" spans="1:3" ht="13" x14ac:dyDescent="0.15">
      <c r="A1339">
        <v>64</v>
      </c>
      <c r="B1339">
        <v>271074000</v>
      </c>
      <c r="C1339">
        <v>1</v>
      </c>
    </row>
    <row r="1340" spans="1:3" ht="13" x14ac:dyDescent="0.15">
      <c r="A1340">
        <v>64</v>
      </c>
      <c r="B1340">
        <v>271206000</v>
      </c>
      <c r="C1340">
        <v>1</v>
      </c>
    </row>
    <row r="1341" spans="1:3" ht="13" x14ac:dyDescent="0.15">
      <c r="A1341">
        <v>64</v>
      </c>
      <c r="B1341">
        <v>271207000</v>
      </c>
      <c r="C1341">
        <v>2</v>
      </c>
    </row>
    <row r="1342" spans="1:3" ht="13" x14ac:dyDescent="0.15">
      <c r="A1342">
        <v>64</v>
      </c>
      <c r="B1342">
        <v>271214000</v>
      </c>
      <c r="C1342">
        <v>1</v>
      </c>
    </row>
    <row r="1343" spans="1:3" ht="13" x14ac:dyDescent="0.15">
      <c r="A1343">
        <v>64</v>
      </c>
      <c r="B1343">
        <v>271215000</v>
      </c>
      <c r="C1343">
        <v>1</v>
      </c>
    </row>
    <row r="1344" spans="1:3" ht="13" x14ac:dyDescent="0.15">
      <c r="A1344">
        <v>64</v>
      </c>
      <c r="B1344">
        <v>271236000</v>
      </c>
      <c r="C1344">
        <v>1</v>
      </c>
    </row>
    <row r="1345" spans="1:3" ht="13" x14ac:dyDescent="0.15">
      <c r="A1345">
        <v>64</v>
      </c>
      <c r="B1345">
        <v>271259000</v>
      </c>
      <c r="C1345">
        <v>1</v>
      </c>
    </row>
    <row r="1346" spans="1:3" ht="13" x14ac:dyDescent="0.15">
      <c r="A1346">
        <v>64</v>
      </c>
      <c r="B1346">
        <v>271260000</v>
      </c>
      <c r="C1346">
        <v>1</v>
      </c>
    </row>
    <row r="1347" spans="1:3" ht="13" x14ac:dyDescent="0.15">
      <c r="A1347">
        <v>64</v>
      </c>
      <c r="B1347">
        <v>271302000</v>
      </c>
      <c r="C1347">
        <v>1</v>
      </c>
    </row>
    <row r="1348" spans="1:3" ht="13" x14ac:dyDescent="0.15">
      <c r="A1348">
        <v>64</v>
      </c>
      <c r="B1348">
        <v>271513000</v>
      </c>
      <c r="C1348">
        <v>1</v>
      </c>
    </row>
    <row r="1349" spans="1:3" ht="13" x14ac:dyDescent="0.15">
      <c r="A1349">
        <v>98</v>
      </c>
      <c r="B1349">
        <v>270163000</v>
      </c>
      <c r="C1349">
        <v>1</v>
      </c>
    </row>
    <row r="1350" spans="1:3" ht="13" x14ac:dyDescent="0.15">
      <c r="A1350">
        <v>98</v>
      </c>
      <c r="B1350">
        <v>270204000</v>
      </c>
      <c r="C1350">
        <v>1</v>
      </c>
    </row>
    <row r="1351" spans="1:3" ht="13" x14ac:dyDescent="0.15">
      <c r="A1351">
        <v>98</v>
      </c>
      <c r="B1351">
        <v>270271000</v>
      </c>
      <c r="C1351">
        <v>4</v>
      </c>
    </row>
    <row r="1352" spans="1:3" ht="13" x14ac:dyDescent="0.15">
      <c r="A1352">
        <v>98</v>
      </c>
      <c r="B1352">
        <v>270281000</v>
      </c>
      <c r="C1352">
        <v>1</v>
      </c>
    </row>
    <row r="1353" spans="1:3" ht="13" x14ac:dyDescent="0.15">
      <c r="A1353">
        <v>98</v>
      </c>
      <c r="B1353">
        <v>270304000</v>
      </c>
      <c r="C1353">
        <v>1</v>
      </c>
    </row>
    <row r="1354" spans="1:3" ht="13" x14ac:dyDescent="0.15">
      <c r="A1354">
        <v>98</v>
      </c>
      <c r="B1354">
        <v>270316000</v>
      </c>
      <c r="C1354">
        <v>1</v>
      </c>
    </row>
    <row r="1355" spans="1:3" ht="13" x14ac:dyDescent="0.15">
      <c r="A1355">
        <v>98</v>
      </c>
      <c r="B1355">
        <v>270328000</v>
      </c>
      <c r="C1355">
        <v>1</v>
      </c>
    </row>
    <row r="1356" spans="1:3" ht="13" x14ac:dyDescent="0.15">
      <c r="A1356">
        <v>98</v>
      </c>
      <c r="B1356">
        <v>270330000</v>
      </c>
      <c r="C1356">
        <v>1</v>
      </c>
    </row>
    <row r="1357" spans="1:3" ht="13" x14ac:dyDescent="0.15">
      <c r="A1357">
        <v>98</v>
      </c>
      <c r="B1357">
        <v>270359000</v>
      </c>
      <c r="C1357">
        <v>2</v>
      </c>
    </row>
    <row r="1358" spans="1:3" ht="13" x14ac:dyDescent="0.15">
      <c r="A1358">
        <v>98</v>
      </c>
      <c r="B1358">
        <v>270408000</v>
      </c>
      <c r="C1358">
        <v>1</v>
      </c>
    </row>
    <row r="1359" spans="1:3" ht="13" x14ac:dyDescent="0.15">
      <c r="A1359">
        <v>98</v>
      </c>
      <c r="B1359">
        <v>270411000</v>
      </c>
      <c r="C1359">
        <v>2</v>
      </c>
    </row>
    <row r="1360" spans="1:3" ht="13" x14ac:dyDescent="0.15">
      <c r="A1360">
        <v>98</v>
      </c>
      <c r="B1360">
        <v>270710000</v>
      </c>
      <c r="C1360">
        <v>1</v>
      </c>
    </row>
    <row r="1361" spans="1:3" ht="13" x14ac:dyDescent="0.15">
      <c r="A1361">
        <v>98</v>
      </c>
      <c r="B1361">
        <v>270716000</v>
      </c>
      <c r="C1361">
        <v>9</v>
      </c>
    </row>
    <row r="1362" spans="1:3" ht="13" x14ac:dyDescent="0.15">
      <c r="A1362">
        <v>98</v>
      </c>
      <c r="B1362">
        <v>270717000</v>
      </c>
      <c r="C1362">
        <v>1</v>
      </c>
    </row>
    <row r="1363" spans="1:3" ht="13" x14ac:dyDescent="0.15">
      <c r="A1363">
        <v>98</v>
      </c>
      <c r="B1363">
        <v>270803000</v>
      </c>
      <c r="C1363">
        <v>2</v>
      </c>
    </row>
    <row r="1364" spans="1:3" ht="13" x14ac:dyDescent="0.15">
      <c r="A1364">
        <v>98</v>
      </c>
      <c r="B1364">
        <v>270903000</v>
      </c>
      <c r="C1364">
        <v>1</v>
      </c>
    </row>
    <row r="1365" spans="1:3" ht="13" x14ac:dyDescent="0.15">
      <c r="A1365">
        <v>98</v>
      </c>
      <c r="B1365">
        <v>270926000</v>
      </c>
      <c r="C1365">
        <v>10</v>
      </c>
    </row>
    <row r="1366" spans="1:3" ht="13" x14ac:dyDescent="0.15">
      <c r="A1366">
        <v>98</v>
      </c>
      <c r="B1366">
        <v>271006000</v>
      </c>
      <c r="C1366">
        <v>2</v>
      </c>
    </row>
    <row r="1367" spans="1:3" ht="13" x14ac:dyDescent="0.15">
      <c r="A1367">
        <v>98</v>
      </c>
      <c r="B1367">
        <v>271008000</v>
      </c>
      <c r="C1367">
        <v>1</v>
      </c>
    </row>
    <row r="1368" spans="1:3" ht="13" x14ac:dyDescent="0.15">
      <c r="A1368">
        <v>98</v>
      </c>
      <c r="B1368">
        <v>271010000</v>
      </c>
      <c r="C1368">
        <v>1</v>
      </c>
    </row>
    <row r="1369" spans="1:3" ht="13" x14ac:dyDescent="0.15">
      <c r="A1369">
        <v>98</v>
      </c>
      <c r="B1369">
        <v>271011000</v>
      </c>
      <c r="C1369">
        <v>1</v>
      </c>
    </row>
    <row r="1370" spans="1:3" ht="13" x14ac:dyDescent="0.15">
      <c r="A1370">
        <v>98</v>
      </c>
      <c r="B1370">
        <v>271020000</v>
      </c>
      <c r="C1370">
        <v>1</v>
      </c>
    </row>
    <row r="1371" spans="1:3" ht="13" x14ac:dyDescent="0.15">
      <c r="A1371">
        <v>98</v>
      </c>
      <c r="B1371">
        <v>271074000</v>
      </c>
      <c r="C1371">
        <v>1</v>
      </c>
    </row>
    <row r="1372" spans="1:3" ht="13" x14ac:dyDescent="0.15">
      <c r="A1372">
        <v>98</v>
      </c>
      <c r="B1372">
        <v>271204000</v>
      </c>
      <c r="C1372">
        <v>1</v>
      </c>
    </row>
    <row r="1373" spans="1:3" ht="13" x14ac:dyDescent="0.15">
      <c r="A1373">
        <v>98</v>
      </c>
      <c r="B1373">
        <v>271212000</v>
      </c>
      <c r="C1373">
        <v>1</v>
      </c>
    </row>
    <row r="1374" spans="1:3" ht="13" x14ac:dyDescent="0.15">
      <c r="A1374">
        <v>98</v>
      </c>
      <c r="B1374">
        <v>271213000</v>
      </c>
      <c r="C1374">
        <v>1</v>
      </c>
    </row>
    <row r="1375" spans="1:3" ht="13" x14ac:dyDescent="0.15">
      <c r="A1375">
        <v>98</v>
      </c>
      <c r="B1375">
        <v>271215000</v>
      </c>
      <c r="C1375">
        <v>1</v>
      </c>
    </row>
    <row r="1376" spans="1:3" ht="13" x14ac:dyDescent="0.15">
      <c r="A1376">
        <v>98</v>
      </c>
      <c r="B1376">
        <v>271216000</v>
      </c>
      <c r="C1376">
        <v>1</v>
      </c>
    </row>
    <row r="1377" spans="1:3" ht="13" x14ac:dyDescent="0.15">
      <c r="A1377">
        <v>98</v>
      </c>
      <c r="B1377">
        <v>271226000</v>
      </c>
      <c r="C1377">
        <v>1</v>
      </c>
    </row>
    <row r="1378" spans="1:3" ht="15.75" customHeight="1" x14ac:dyDescent="0.15">
      <c r="A1378">
        <v>98</v>
      </c>
      <c r="B1378">
        <v>271245000</v>
      </c>
      <c r="C1378">
        <v>2</v>
      </c>
    </row>
    <row r="1379" spans="1:3" ht="15.75" customHeight="1" x14ac:dyDescent="0.15">
      <c r="A1379">
        <v>98</v>
      </c>
      <c r="B1379">
        <v>271257000</v>
      </c>
      <c r="C1379">
        <v>2</v>
      </c>
    </row>
    <row r="1380" spans="1:3" ht="15.75" customHeight="1" x14ac:dyDescent="0.15">
      <c r="A1380">
        <v>98</v>
      </c>
      <c r="B1380">
        <v>271259000</v>
      </c>
      <c r="C1380">
        <v>1</v>
      </c>
    </row>
    <row r="1381" spans="1:3" ht="15.75" customHeight="1" x14ac:dyDescent="0.15">
      <c r="A1381">
        <v>98</v>
      </c>
      <c r="B1381">
        <v>271306000</v>
      </c>
      <c r="C1381">
        <v>1</v>
      </c>
    </row>
    <row r="1382" spans="1:3" ht="15.75" customHeight="1" x14ac:dyDescent="0.15">
      <c r="A1382">
        <v>98</v>
      </c>
      <c r="B1382">
        <v>271606000</v>
      </c>
      <c r="C1382">
        <v>1</v>
      </c>
    </row>
    <row r="1383" spans="1:3" ht="15.75" customHeight="1" x14ac:dyDescent="0.15">
      <c r="A1383">
        <v>98</v>
      </c>
      <c r="B1383">
        <v>271608000</v>
      </c>
      <c r="C1383">
        <v>1</v>
      </c>
    </row>
    <row r="1384" spans="1:3" ht="15.75" customHeight="1" x14ac:dyDescent="0.15">
      <c r="A1384">
        <v>301</v>
      </c>
      <c r="B1384">
        <v>270140000</v>
      </c>
      <c r="C1384">
        <v>2</v>
      </c>
    </row>
    <row r="1385" spans="1:3" ht="15.75" customHeight="1" x14ac:dyDescent="0.15">
      <c r="A1385">
        <v>301</v>
      </c>
      <c r="B1385">
        <v>270204000</v>
      </c>
      <c r="C1385">
        <v>1</v>
      </c>
    </row>
    <row r="1386" spans="1:3" ht="15.75" customHeight="1" x14ac:dyDescent="0.15">
      <c r="A1386">
        <v>301</v>
      </c>
      <c r="B1386">
        <v>270217000</v>
      </c>
      <c r="C1386">
        <v>1</v>
      </c>
    </row>
    <row r="1387" spans="1:3" ht="15.75" customHeight="1" x14ac:dyDescent="0.15">
      <c r="A1387">
        <v>301</v>
      </c>
      <c r="B1387">
        <v>270316000</v>
      </c>
      <c r="C1387">
        <v>2</v>
      </c>
    </row>
    <row r="1388" spans="1:3" ht="15.75" customHeight="1" x14ac:dyDescent="0.15">
      <c r="A1388">
        <v>301</v>
      </c>
      <c r="B1388">
        <v>270328000</v>
      </c>
      <c r="C1388">
        <v>3</v>
      </c>
    </row>
    <row r="1389" spans="1:3" ht="15.75" customHeight="1" x14ac:dyDescent="0.15">
      <c r="A1389">
        <v>301</v>
      </c>
      <c r="B1389">
        <v>270330000</v>
      </c>
      <c r="C1389">
        <v>1</v>
      </c>
    </row>
    <row r="1390" spans="1:3" ht="15.75" customHeight="1" x14ac:dyDescent="0.15">
      <c r="A1390">
        <v>301</v>
      </c>
      <c r="B1390">
        <v>270412000</v>
      </c>
      <c r="C1390">
        <v>3</v>
      </c>
    </row>
    <row r="1391" spans="1:3" ht="15.75" customHeight="1" x14ac:dyDescent="0.15">
      <c r="A1391">
        <v>301</v>
      </c>
      <c r="B1391">
        <v>270710000</v>
      </c>
      <c r="C1391">
        <v>6</v>
      </c>
    </row>
    <row r="1392" spans="1:3" ht="15.75" customHeight="1" x14ac:dyDescent="0.15">
      <c r="A1392">
        <v>301</v>
      </c>
      <c r="B1392">
        <v>270716000</v>
      </c>
      <c r="C1392">
        <v>3</v>
      </c>
    </row>
    <row r="1393" spans="1:3" ht="15.75" customHeight="1" x14ac:dyDescent="0.15">
      <c r="A1393">
        <v>301</v>
      </c>
      <c r="B1393">
        <v>270801000</v>
      </c>
      <c r="C1393">
        <v>1</v>
      </c>
    </row>
    <row r="1394" spans="1:3" ht="15.75" customHeight="1" x14ac:dyDescent="0.15">
      <c r="A1394">
        <v>301</v>
      </c>
      <c r="B1394">
        <v>270803000</v>
      </c>
      <c r="C1394">
        <v>3</v>
      </c>
    </row>
    <row r="1395" spans="1:3" ht="15.75" customHeight="1" x14ac:dyDescent="0.15">
      <c r="A1395">
        <v>301</v>
      </c>
      <c r="B1395">
        <v>270806000</v>
      </c>
      <c r="C1395">
        <v>1</v>
      </c>
    </row>
    <row r="1396" spans="1:3" ht="15.75" customHeight="1" x14ac:dyDescent="0.15">
      <c r="A1396">
        <v>301</v>
      </c>
      <c r="B1396">
        <v>270810000</v>
      </c>
      <c r="C1396">
        <v>1</v>
      </c>
    </row>
    <row r="1397" spans="1:3" ht="15.75" customHeight="1" x14ac:dyDescent="0.15">
      <c r="A1397">
        <v>301</v>
      </c>
      <c r="B1397">
        <v>270903000</v>
      </c>
      <c r="C1397">
        <v>2</v>
      </c>
    </row>
    <row r="1398" spans="1:3" ht="15.75" customHeight="1" x14ac:dyDescent="0.15">
      <c r="A1398">
        <v>301</v>
      </c>
      <c r="B1398">
        <v>270910000</v>
      </c>
      <c r="C1398">
        <v>1</v>
      </c>
    </row>
    <row r="1399" spans="1:3" ht="15.75" customHeight="1" x14ac:dyDescent="0.15">
      <c r="A1399">
        <v>301</v>
      </c>
      <c r="B1399">
        <v>270926000</v>
      </c>
      <c r="C1399">
        <v>2</v>
      </c>
    </row>
    <row r="1400" spans="1:3" ht="15.75" customHeight="1" x14ac:dyDescent="0.15">
      <c r="A1400">
        <v>301</v>
      </c>
      <c r="B1400">
        <v>271002000</v>
      </c>
      <c r="C1400">
        <v>1</v>
      </c>
    </row>
    <row r="1401" spans="1:3" ht="15.75" customHeight="1" x14ac:dyDescent="0.15">
      <c r="A1401">
        <v>301</v>
      </c>
      <c r="B1401">
        <v>271005000</v>
      </c>
      <c r="C1401">
        <v>1</v>
      </c>
    </row>
    <row r="1402" spans="1:3" ht="15.75" customHeight="1" x14ac:dyDescent="0.15">
      <c r="A1402">
        <v>301</v>
      </c>
      <c r="B1402">
        <v>271006000</v>
      </c>
      <c r="C1402">
        <v>2</v>
      </c>
    </row>
    <row r="1403" spans="1:3" ht="15.75" customHeight="1" x14ac:dyDescent="0.15">
      <c r="A1403">
        <v>301</v>
      </c>
      <c r="B1403">
        <v>271010000</v>
      </c>
      <c r="C1403">
        <v>1</v>
      </c>
    </row>
    <row r="1404" spans="1:3" ht="15.75" customHeight="1" x14ac:dyDescent="0.15">
      <c r="A1404">
        <v>301</v>
      </c>
      <c r="B1404">
        <v>271011000</v>
      </c>
      <c r="C1404">
        <v>3</v>
      </c>
    </row>
    <row r="1405" spans="1:3" ht="15.75" customHeight="1" x14ac:dyDescent="0.15">
      <c r="A1405">
        <v>301</v>
      </c>
      <c r="B1405">
        <v>271020000</v>
      </c>
      <c r="C1405">
        <v>2</v>
      </c>
    </row>
    <row r="1406" spans="1:3" ht="15.75" customHeight="1" x14ac:dyDescent="0.15">
      <c r="A1406">
        <v>301</v>
      </c>
      <c r="B1406">
        <v>271021000</v>
      </c>
      <c r="C1406">
        <v>1</v>
      </c>
    </row>
    <row r="1407" spans="1:3" ht="15.75" customHeight="1" x14ac:dyDescent="0.15">
      <c r="A1407">
        <v>301</v>
      </c>
      <c r="B1407">
        <v>271059000</v>
      </c>
      <c r="C1407">
        <v>6</v>
      </c>
    </row>
    <row r="1408" spans="1:3" ht="15.75" customHeight="1" x14ac:dyDescent="0.15">
      <c r="A1408">
        <v>301</v>
      </c>
      <c r="B1408">
        <v>271074000</v>
      </c>
      <c r="C1408">
        <v>2</v>
      </c>
    </row>
    <row r="1409" spans="1:3" ht="15.75" customHeight="1" x14ac:dyDescent="0.15">
      <c r="A1409">
        <v>301</v>
      </c>
      <c r="B1409">
        <v>271206000</v>
      </c>
      <c r="C1409">
        <v>3</v>
      </c>
    </row>
    <row r="1410" spans="1:3" ht="15.75" customHeight="1" x14ac:dyDescent="0.15">
      <c r="A1410">
        <v>301</v>
      </c>
      <c r="B1410">
        <v>271207000</v>
      </c>
      <c r="C1410">
        <v>2</v>
      </c>
    </row>
    <row r="1411" spans="1:3" ht="15.75" customHeight="1" x14ac:dyDescent="0.15">
      <c r="A1411">
        <v>301</v>
      </c>
      <c r="B1411">
        <v>271214000</v>
      </c>
      <c r="C1411">
        <v>2</v>
      </c>
    </row>
    <row r="1412" spans="1:3" ht="15.75" customHeight="1" x14ac:dyDescent="0.15">
      <c r="A1412">
        <v>301</v>
      </c>
      <c r="B1412">
        <v>271215000</v>
      </c>
      <c r="C1412">
        <v>2</v>
      </c>
    </row>
    <row r="1413" spans="1:3" ht="15.75" customHeight="1" x14ac:dyDescent="0.15">
      <c r="A1413">
        <v>301</v>
      </c>
      <c r="B1413">
        <v>271221000</v>
      </c>
      <c r="C1413">
        <v>1</v>
      </c>
    </row>
    <row r="1414" spans="1:3" ht="15.75" customHeight="1" x14ac:dyDescent="0.15">
      <c r="A1414">
        <v>301</v>
      </c>
      <c r="B1414">
        <v>271259000</v>
      </c>
      <c r="C1414">
        <v>1</v>
      </c>
    </row>
    <row r="1415" spans="1:3" ht="15.75" customHeight="1" x14ac:dyDescent="0.15">
      <c r="A1415">
        <v>301</v>
      </c>
      <c r="B1415">
        <v>271302000</v>
      </c>
      <c r="C1415">
        <v>1</v>
      </c>
    </row>
    <row r="1416" spans="1:3" ht="15.75" customHeight="1" x14ac:dyDescent="0.15">
      <c r="A1416">
        <v>301</v>
      </c>
      <c r="B1416">
        <v>271503000</v>
      </c>
      <c r="C1416">
        <v>1</v>
      </c>
    </row>
    <row r="1417" spans="1:3" ht="15.75" customHeight="1" x14ac:dyDescent="0.15">
      <c r="A1417">
        <v>302</v>
      </c>
      <c r="B1417">
        <v>270140000</v>
      </c>
      <c r="C1417">
        <v>2</v>
      </c>
    </row>
    <row r="1418" spans="1:3" ht="15.75" customHeight="1" x14ac:dyDescent="0.15">
      <c r="A1418">
        <v>302</v>
      </c>
      <c r="B1418">
        <v>270316000</v>
      </c>
      <c r="C1418">
        <v>1</v>
      </c>
    </row>
    <row r="1419" spans="1:3" ht="15.75" customHeight="1" x14ac:dyDescent="0.15">
      <c r="A1419">
        <v>302</v>
      </c>
      <c r="B1419">
        <v>270330000</v>
      </c>
      <c r="C1419">
        <v>1</v>
      </c>
    </row>
    <row r="1420" spans="1:3" ht="15.75" customHeight="1" x14ac:dyDescent="0.15">
      <c r="A1420">
        <v>302</v>
      </c>
      <c r="B1420">
        <v>270716000</v>
      </c>
      <c r="C1420">
        <v>1</v>
      </c>
    </row>
    <row r="1421" spans="1:3" ht="15.75" customHeight="1" x14ac:dyDescent="0.15">
      <c r="A1421">
        <v>302</v>
      </c>
      <c r="B1421">
        <v>270801000</v>
      </c>
      <c r="C1421">
        <v>1</v>
      </c>
    </row>
    <row r="1422" spans="1:3" ht="15.75" customHeight="1" x14ac:dyDescent="0.15">
      <c r="A1422">
        <v>302</v>
      </c>
      <c r="B1422">
        <v>270810000</v>
      </c>
      <c r="C1422">
        <v>1</v>
      </c>
    </row>
    <row r="1423" spans="1:3" ht="15.75" customHeight="1" x14ac:dyDescent="0.15">
      <c r="A1423">
        <v>302</v>
      </c>
      <c r="B1423">
        <v>270926000</v>
      </c>
      <c r="C1423">
        <v>2</v>
      </c>
    </row>
    <row r="1424" spans="1:3" ht="15.75" customHeight="1" x14ac:dyDescent="0.15">
      <c r="A1424">
        <v>302</v>
      </c>
      <c r="B1424">
        <v>271006000</v>
      </c>
      <c r="C1424">
        <v>1</v>
      </c>
    </row>
    <row r="1425" spans="1:3" ht="15.75" customHeight="1" x14ac:dyDescent="0.15">
      <c r="A1425">
        <v>302</v>
      </c>
      <c r="B1425">
        <v>271011000</v>
      </c>
      <c r="C1425">
        <v>1</v>
      </c>
    </row>
    <row r="1426" spans="1:3" ht="15.75" customHeight="1" x14ac:dyDescent="0.15">
      <c r="A1426">
        <v>302</v>
      </c>
      <c r="B1426">
        <v>271020000</v>
      </c>
      <c r="C1426">
        <v>1</v>
      </c>
    </row>
    <row r="1427" spans="1:3" ht="15.75" customHeight="1" x14ac:dyDescent="0.15">
      <c r="A1427">
        <v>302</v>
      </c>
      <c r="B1427">
        <v>271059000</v>
      </c>
      <c r="C1427">
        <v>2</v>
      </c>
    </row>
    <row r="1428" spans="1:3" ht="15.75" customHeight="1" x14ac:dyDescent="0.15">
      <c r="A1428">
        <v>302</v>
      </c>
      <c r="B1428">
        <v>271074000</v>
      </c>
      <c r="C1428">
        <v>2</v>
      </c>
    </row>
    <row r="1429" spans="1:3" ht="15.75" customHeight="1" x14ac:dyDescent="0.15">
      <c r="A1429">
        <v>302</v>
      </c>
      <c r="B1429">
        <v>271216000</v>
      </c>
      <c r="C1429">
        <v>3</v>
      </c>
    </row>
    <row r="1430" spans="1:3" ht="15.75" customHeight="1" x14ac:dyDescent="0.15">
      <c r="A1430">
        <v>302</v>
      </c>
      <c r="B1430">
        <v>271221000</v>
      </c>
      <c r="C1430">
        <v>7</v>
      </c>
    </row>
    <row r="1431" spans="1:3" ht="15.75" customHeight="1" x14ac:dyDescent="0.15">
      <c r="A1431">
        <v>302</v>
      </c>
      <c r="B1431">
        <v>271226000</v>
      </c>
      <c r="C1431">
        <v>3</v>
      </c>
    </row>
    <row r="1432" spans="1:3" ht="15.75" customHeight="1" x14ac:dyDescent="0.15">
      <c r="A1432">
        <v>304</v>
      </c>
      <c r="B1432">
        <v>270140000</v>
      </c>
      <c r="C1432">
        <v>4</v>
      </c>
    </row>
    <row r="1433" spans="1:3" ht="15.75" customHeight="1" x14ac:dyDescent="0.15">
      <c r="A1433">
        <v>304</v>
      </c>
      <c r="B1433">
        <v>270304000</v>
      </c>
      <c r="C1433">
        <v>2</v>
      </c>
    </row>
    <row r="1434" spans="1:3" ht="15.75" customHeight="1" x14ac:dyDescent="0.15">
      <c r="A1434">
        <v>304</v>
      </c>
      <c r="B1434">
        <v>270310000</v>
      </c>
      <c r="C1434">
        <v>1</v>
      </c>
    </row>
    <row r="1435" spans="1:3" ht="15.75" customHeight="1" x14ac:dyDescent="0.15">
      <c r="A1435">
        <v>304</v>
      </c>
      <c r="B1435">
        <v>270316000</v>
      </c>
      <c r="C1435">
        <v>2</v>
      </c>
    </row>
    <row r="1436" spans="1:3" ht="15.75" customHeight="1" x14ac:dyDescent="0.15">
      <c r="A1436">
        <v>304</v>
      </c>
      <c r="B1436">
        <v>270328000</v>
      </c>
      <c r="C1436">
        <v>2</v>
      </c>
    </row>
    <row r="1437" spans="1:3" ht="15.75" customHeight="1" x14ac:dyDescent="0.15">
      <c r="A1437">
        <v>304</v>
      </c>
      <c r="B1437">
        <v>270403000</v>
      </c>
      <c r="C1437">
        <v>1</v>
      </c>
    </row>
    <row r="1438" spans="1:3" ht="15.75" customHeight="1" x14ac:dyDescent="0.15">
      <c r="A1438">
        <v>304</v>
      </c>
      <c r="B1438">
        <v>270412000</v>
      </c>
      <c r="C1438">
        <v>4</v>
      </c>
    </row>
    <row r="1439" spans="1:3" ht="15.75" customHeight="1" x14ac:dyDescent="0.15">
      <c r="A1439">
        <v>304</v>
      </c>
      <c r="B1439">
        <v>270710000</v>
      </c>
      <c r="C1439">
        <v>6</v>
      </c>
    </row>
    <row r="1440" spans="1:3" ht="15.75" customHeight="1" x14ac:dyDescent="0.15">
      <c r="A1440">
        <v>304</v>
      </c>
      <c r="B1440">
        <v>270716000</v>
      </c>
      <c r="C1440">
        <v>2</v>
      </c>
    </row>
    <row r="1441" spans="1:3" ht="15.75" customHeight="1" x14ac:dyDescent="0.15">
      <c r="A1441">
        <v>304</v>
      </c>
      <c r="B1441">
        <v>270801000</v>
      </c>
      <c r="C1441">
        <v>1</v>
      </c>
    </row>
    <row r="1442" spans="1:3" ht="15.75" customHeight="1" x14ac:dyDescent="0.15">
      <c r="A1442">
        <v>304</v>
      </c>
      <c r="B1442">
        <v>270803000</v>
      </c>
      <c r="C1442">
        <v>3</v>
      </c>
    </row>
    <row r="1443" spans="1:3" ht="15.75" customHeight="1" x14ac:dyDescent="0.15">
      <c r="A1443">
        <v>304</v>
      </c>
      <c r="B1443">
        <v>270805000</v>
      </c>
      <c r="C1443">
        <v>1</v>
      </c>
    </row>
    <row r="1444" spans="1:3" ht="15.75" customHeight="1" x14ac:dyDescent="0.15">
      <c r="A1444">
        <v>304</v>
      </c>
      <c r="B1444">
        <v>270806000</v>
      </c>
      <c r="C1444">
        <v>1</v>
      </c>
    </row>
    <row r="1445" spans="1:3" ht="15.75" customHeight="1" x14ac:dyDescent="0.15">
      <c r="A1445">
        <v>304</v>
      </c>
      <c r="B1445">
        <v>270810000</v>
      </c>
      <c r="C1445">
        <v>1</v>
      </c>
    </row>
    <row r="1446" spans="1:3" ht="15.75" customHeight="1" x14ac:dyDescent="0.15">
      <c r="A1446">
        <v>304</v>
      </c>
      <c r="B1446">
        <v>270903000</v>
      </c>
      <c r="C1446">
        <v>1</v>
      </c>
    </row>
    <row r="1447" spans="1:3" ht="15.75" customHeight="1" x14ac:dyDescent="0.15">
      <c r="A1447">
        <v>304</v>
      </c>
      <c r="B1447">
        <v>270910000</v>
      </c>
      <c r="C1447">
        <v>1</v>
      </c>
    </row>
    <row r="1448" spans="1:3" ht="15.75" customHeight="1" x14ac:dyDescent="0.15">
      <c r="A1448">
        <v>304</v>
      </c>
      <c r="B1448">
        <v>270926000</v>
      </c>
      <c r="C1448">
        <v>3</v>
      </c>
    </row>
    <row r="1449" spans="1:3" ht="15.75" customHeight="1" x14ac:dyDescent="0.15">
      <c r="A1449">
        <v>304</v>
      </c>
      <c r="B1449">
        <v>271002000</v>
      </c>
      <c r="C1449">
        <v>1</v>
      </c>
    </row>
    <row r="1450" spans="1:3" ht="15.75" customHeight="1" x14ac:dyDescent="0.15">
      <c r="A1450">
        <v>304</v>
      </c>
      <c r="B1450">
        <v>271005000</v>
      </c>
      <c r="C1450">
        <v>1</v>
      </c>
    </row>
    <row r="1451" spans="1:3" ht="15.75" customHeight="1" x14ac:dyDescent="0.15">
      <c r="A1451">
        <v>304</v>
      </c>
      <c r="B1451">
        <v>271006000</v>
      </c>
      <c r="C1451">
        <v>2</v>
      </c>
    </row>
    <row r="1452" spans="1:3" ht="15.75" customHeight="1" x14ac:dyDescent="0.15">
      <c r="A1452">
        <v>304</v>
      </c>
      <c r="B1452">
        <v>271008000</v>
      </c>
      <c r="C1452">
        <v>1</v>
      </c>
    </row>
    <row r="1453" spans="1:3" ht="15.75" customHeight="1" x14ac:dyDescent="0.15">
      <c r="A1453">
        <v>304</v>
      </c>
      <c r="B1453">
        <v>271010000</v>
      </c>
      <c r="C1453">
        <v>1</v>
      </c>
    </row>
    <row r="1454" spans="1:3" ht="15.75" customHeight="1" x14ac:dyDescent="0.15">
      <c r="A1454">
        <v>304</v>
      </c>
      <c r="B1454">
        <v>271011000</v>
      </c>
      <c r="C1454">
        <v>2</v>
      </c>
    </row>
    <row r="1455" spans="1:3" ht="15.75" customHeight="1" x14ac:dyDescent="0.15">
      <c r="A1455">
        <v>304</v>
      </c>
      <c r="B1455">
        <v>271020000</v>
      </c>
      <c r="C1455">
        <v>1</v>
      </c>
    </row>
    <row r="1456" spans="1:3" ht="15.75" customHeight="1" x14ac:dyDescent="0.15">
      <c r="A1456">
        <v>304</v>
      </c>
      <c r="B1456">
        <v>271021000</v>
      </c>
      <c r="C1456">
        <v>1</v>
      </c>
    </row>
    <row r="1457" spans="1:3" ht="15.75" customHeight="1" x14ac:dyDescent="0.15">
      <c r="A1457">
        <v>304</v>
      </c>
      <c r="B1457">
        <v>271059000</v>
      </c>
      <c r="C1457">
        <v>3</v>
      </c>
    </row>
    <row r="1458" spans="1:3" ht="15.75" customHeight="1" x14ac:dyDescent="0.15">
      <c r="A1458">
        <v>304</v>
      </c>
      <c r="B1458">
        <v>271074000</v>
      </c>
      <c r="C1458">
        <v>2</v>
      </c>
    </row>
    <row r="1459" spans="1:3" ht="15.75" customHeight="1" x14ac:dyDescent="0.15">
      <c r="A1459">
        <v>304</v>
      </c>
      <c r="B1459">
        <v>271206000</v>
      </c>
      <c r="C1459">
        <v>3</v>
      </c>
    </row>
    <row r="1460" spans="1:3" ht="15.75" customHeight="1" x14ac:dyDescent="0.15">
      <c r="A1460">
        <v>304</v>
      </c>
      <c r="B1460">
        <v>271207000</v>
      </c>
      <c r="C1460">
        <v>3</v>
      </c>
    </row>
    <row r="1461" spans="1:3" ht="15.75" customHeight="1" x14ac:dyDescent="0.15">
      <c r="A1461">
        <v>304</v>
      </c>
      <c r="B1461">
        <v>271214000</v>
      </c>
      <c r="C1461">
        <v>1</v>
      </c>
    </row>
    <row r="1462" spans="1:3" ht="15.75" customHeight="1" x14ac:dyDescent="0.15">
      <c r="A1462">
        <v>304</v>
      </c>
      <c r="B1462">
        <v>271215000</v>
      </c>
      <c r="C1462">
        <v>1</v>
      </c>
    </row>
    <row r="1463" spans="1:3" ht="15.75" customHeight="1" x14ac:dyDescent="0.15">
      <c r="A1463">
        <v>304</v>
      </c>
      <c r="B1463">
        <v>271259000</v>
      </c>
      <c r="C1463">
        <v>1</v>
      </c>
    </row>
    <row r="1464" spans="1:3" ht="15.75" customHeight="1" x14ac:dyDescent="0.15">
      <c r="A1464">
        <v>304</v>
      </c>
      <c r="B1464">
        <v>271302000</v>
      </c>
      <c r="C1464">
        <v>1</v>
      </c>
    </row>
    <row r="1465" spans="1:3" ht="15.75" customHeight="1" x14ac:dyDescent="0.15">
      <c r="A1465">
        <v>305</v>
      </c>
      <c r="B1465">
        <v>270140000</v>
      </c>
      <c r="C1465">
        <v>1</v>
      </c>
    </row>
    <row r="1466" spans="1:3" ht="15.75" customHeight="1" x14ac:dyDescent="0.15">
      <c r="A1466">
        <v>305</v>
      </c>
      <c r="B1466">
        <v>270217000</v>
      </c>
      <c r="C1466">
        <v>1</v>
      </c>
    </row>
    <row r="1467" spans="1:3" ht="15.75" customHeight="1" x14ac:dyDescent="0.15">
      <c r="A1467">
        <v>305</v>
      </c>
      <c r="B1467">
        <v>270316000</v>
      </c>
      <c r="C1467">
        <v>1</v>
      </c>
    </row>
    <row r="1468" spans="1:3" ht="15.75" customHeight="1" x14ac:dyDescent="0.15">
      <c r="A1468">
        <v>305</v>
      </c>
      <c r="B1468">
        <v>270710000</v>
      </c>
      <c r="C1468">
        <v>2</v>
      </c>
    </row>
    <row r="1469" spans="1:3" ht="15.75" customHeight="1" x14ac:dyDescent="0.15">
      <c r="A1469">
        <v>305</v>
      </c>
      <c r="B1469">
        <v>270716000</v>
      </c>
      <c r="C1469">
        <v>1</v>
      </c>
    </row>
    <row r="1470" spans="1:3" ht="15.75" customHeight="1" x14ac:dyDescent="0.15">
      <c r="A1470">
        <v>305</v>
      </c>
      <c r="B1470">
        <v>270803000</v>
      </c>
      <c r="C1470">
        <v>1</v>
      </c>
    </row>
    <row r="1471" spans="1:3" ht="15.75" customHeight="1" x14ac:dyDescent="0.15">
      <c r="A1471">
        <v>305</v>
      </c>
      <c r="B1471">
        <v>270810000</v>
      </c>
      <c r="C1471">
        <v>1</v>
      </c>
    </row>
    <row r="1472" spans="1:3" ht="15.75" customHeight="1" x14ac:dyDescent="0.15">
      <c r="A1472">
        <v>305</v>
      </c>
      <c r="B1472">
        <v>270905000</v>
      </c>
      <c r="C1472">
        <v>5</v>
      </c>
    </row>
    <row r="1473" spans="1:3" ht="15.75" customHeight="1" x14ac:dyDescent="0.15">
      <c r="A1473">
        <v>305</v>
      </c>
      <c r="B1473">
        <v>270926000</v>
      </c>
      <c r="C1473">
        <v>2</v>
      </c>
    </row>
    <row r="1474" spans="1:3" ht="15.75" customHeight="1" x14ac:dyDescent="0.15">
      <c r="A1474">
        <v>305</v>
      </c>
      <c r="B1474">
        <v>271005000</v>
      </c>
      <c r="C1474">
        <v>1</v>
      </c>
    </row>
    <row r="1475" spans="1:3" ht="15.75" customHeight="1" x14ac:dyDescent="0.15">
      <c r="A1475">
        <v>305</v>
      </c>
      <c r="B1475">
        <v>271006000</v>
      </c>
      <c r="C1475">
        <v>1</v>
      </c>
    </row>
    <row r="1476" spans="1:3" ht="15.75" customHeight="1" x14ac:dyDescent="0.15">
      <c r="A1476">
        <v>305</v>
      </c>
      <c r="B1476">
        <v>271010000</v>
      </c>
      <c r="C1476">
        <v>1</v>
      </c>
    </row>
    <row r="1477" spans="1:3" ht="15.75" customHeight="1" x14ac:dyDescent="0.15">
      <c r="A1477">
        <v>305</v>
      </c>
      <c r="B1477">
        <v>271011000</v>
      </c>
      <c r="C1477">
        <v>1</v>
      </c>
    </row>
    <row r="1478" spans="1:3" ht="15.75" customHeight="1" x14ac:dyDescent="0.15">
      <c r="A1478">
        <v>305</v>
      </c>
      <c r="B1478">
        <v>271020000</v>
      </c>
      <c r="C1478">
        <v>1</v>
      </c>
    </row>
    <row r="1479" spans="1:3" ht="15.75" customHeight="1" x14ac:dyDescent="0.15">
      <c r="A1479">
        <v>305</v>
      </c>
      <c r="B1479">
        <v>271059000</v>
      </c>
      <c r="C1479">
        <v>2</v>
      </c>
    </row>
    <row r="1480" spans="1:3" ht="15.75" customHeight="1" x14ac:dyDescent="0.15">
      <c r="A1480">
        <v>305</v>
      </c>
      <c r="B1480">
        <v>271074000</v>
      </c>
      <c r="C1480">
        <v>1</v>
      </c>
    </row>
    <row r="1481" spans="1:3" ht="15.75" customHeight="1" x14ac:dyDescent="0.15">
      <c r="A1481">
        <v>305</v>
      </c>
      <c r="B1481">
        <v>271206000</v>
      </c>
      <c r="C1481">
        <v>2</v>
      </c>
    </row>
    <row r="1482" spans="1:3" ht="15.75" customHeight="1" x14ac:dyDescent="0.15">
      <c r="A1482">
        <v>305</v>
      </c>
      <c r="B1482">
        <v>271207000</v>
      </c>
      <c r="C1482">
        <v>3</v>
      </c>
    </row>
    <row r="1483" spans="1:3" ht="15.75" customHeight="1" x14ac:dyDescent="0.15">
      <c r="A1483">
        <v>305</v>
      </c>
      <c r="B1483">
        <v>271214000</v>
      </c>
      <c r="C1483">
        <v>1</v>
      </c>
    </row>
    <row r="1484" spans="1:3" ht="15.75" customHeight="1" x14ac:dyDescent="0.15">
      <c r="A1484">
        <v>305</v>
      </c>
      <c r="B1484">
        <v>271215000</v>
      </c>
      <c r="C1484">
        <v>1</v>
      </c>
    </row>
    <row r="1485" spans="1:3" ht="15.75" customHeight="1" x14ac:dyDescent="0.15">
      <c r="A1485">
        <v>305</v>
      </c>
      <c r="B1485">
        <v>271221000</v>
      </c>
      <c r="C1485">
        <v>2</v>
      </c>
    </row>
    <row r="1486" spans="1:3" ht="15.75" customHeight="1" x14ac:dyDescent="0.15">
      <c r="A1486">
        <v>305</v>
      </c>
      <c r="B1486">
        <v>271503000</v>
      </c>
      <c r="C1486">
        <v>1</v>
      </c>
    </row>
    <row r="1487" spans="1:3" ht="15.75" customHeight="1" x14ac:dyDescent="0.15">
      <c r="A1487">
        <v>307</v>
      </c>
      <c r="B1487">
        <v>270140000</v>
      </c>
      <c r="C1487">
        <v>2</v>
      </c>
    </row>
    <row r="1488" spans="1:3" ht="15.75" customHeight="1" x14ac:dyDescent="0.15">
      <c r="A1488">
        <v>307</v>
      </c>
      <c r="B1488">
        <v>270172000</v>
      </c>
      <c r="C1488">
        <v>1</v>
      </c>
    </row>
    <row r="1489" spans="1:3" ht="15.75" customHeight="1" x14ac:dyDescent="0.15">
      <c r="A1489">
        <v>307</v>
      </c>
      <c r="B1489">
        <v>270217000</v>
      </c>
      <c r="C1489">
        <v>1</v>
      </c>
    </row>
    <row r="1490" spans="1:3" ht="15.75" customHeight="1" x14ac:dyDescent="0.15">
      <c r="A1490">
        <v>307</v>
      </c>
      <c r="B1490">
        <v>270303000</v>
      </c>
      <c r="C1490">
        <v>1</v>
      </c>
    </row>
    <row r="1491" spans="1:3" ht="15.75" customHeight="1" x14ac:dyDescent="0.15">
      <c r="A1491">
        <v>307</v>
      </c>
      <c r="B1491">
        <v>270330000</v>
      </c>
      <c r="C1491">
        <v>1</v>
      </c>
    </row>
    <row r="1492" spans="1:3" ht="15.75" customHeight="1" x14ac:dyDescent="0.15">
      <c r="A1492">
        <v>307</v>
      </c>
      <c r="B1492">
        <v>270403000</v>
      </c>
      <c r="C1492">
        <v>1</v>
      </c>
    </row>
    <row r="1493" spans="1:3" ht="15.75" customHeight="1" x14ac:dyDescent="0.15">
      <c r="A1493">
        <v>307</v>
      </c>
      <c r="B1493">
        <v>270411000</v>
      </c>
      <c r="C1493">
        <v>1</v>
      </c>
    </row>
    <row r="1494" spans="1:3" ht="15.75" customHeight="1" x14ac:dyDescent="0.15">
      <c r="A1494">
        <v>307</v>
      </c>
      <c r="B1494">
        <v>270413000</v>
      </c>
      <c r="C1494">
        <v>1</v>
      </c>
    </row>
    <row r="1495" spans="1:3" ht="15.75" customHeight="1" x14ac:dyDescent="0.15">
      <c r="A1495">
        <v>307</v>
      </c>
      <c r="B1495">
        <v>270710000</v>
      </c>
      <c r="C1495">
        <v>2</v>
      </c>
    </row>
    <row r="1496" spans="1:3" ht="15.75" customHeight="1" x14ac:dyDescent="0.15">
      <c r="A1496">
        <v>307</v>
      </c>
      <c r="B1496">
        <v>270716000</v>
      </c>
      <c r="C1496">
        <v>2</v>
      </c>
    </row>
    <row r="1497" spans="1:3" ht="15.75" customHeight="1" x14ac:dyDescent="0.15">
      <c r="A1497">
        <v>307</v>
      </c>
      <c r="B1497">
        <v>270801000</v>
      </c>
      <c r="C1497">
        <v>1</v>
      </c>
    </row>
    <row r="1498" spans="1:3" ht="15.75" customHeight="1" x14ac:dyDescent="0.15">
      <c r="A1498">
        <v>307</v>
      </c>
      <c r="B1498">
        <v>270803000</v>
      </c>
      <c r="C1498">
        <v>2</v>
      </c>
    </row>
    <row r="1499" spans="1:3" ht="15.75" customHeight="1" x14ac:dyDescent="0.15">
      <c r="A1499">
        <v>307</v>
      </c>
      <c r="B1499">
        <v>270810000</v>
      </c>
      <c r="C1499">
        <v>1</v>
      </c>
    </row>
    <row r="1500" spans="1:3" ht="15.75" customHeight="1" x14ac:dyDescent="0.15">
      <c r="A1500">
        <v>307</v>
      </c>
      <c r="B1500">
        <v>270903000</v>
      </c>
      <c r="C1500">
        <v>1</v>
      </c>
    </row>
    <row r="1501" spans="1:3" ht="15.75" customHeight="1" x14ac:dyDescent="0.15">
      <c r="A1501">
        <v>307</v>
      </c>
      <c r="B1501">
        <v>270906000</v>
      </c>
      <c r="C1501">
        <v>1</v>
      </c>
    </row>
    <row r="1502" spans="1:3" ht="15.75" customHeight="1" x14ac:dyDescent="0.15">
      <c r="A1502">
        <v>307</v>
      </c>
      <c r="B1502">
        <v>270910000</v>
      </c>
      <c r="C1502">
        <v>1</v>
      </c>
    </row>
    <row r="1503" spans="1:3" ht="15.75" customHeight="1" x14ac:dyDescent="0.15">
      <c r="A1503">
        <v>307</v>
      </c>
      <c r="B1503">
        <v>270926000</v>
      </c>
      <c r="C1503">
        <v>3</v>
      </c>
    </row>
    <row r="1504" spans="1:3" ht="15.75" customHeight="1" x14ac:dyDescent="0.15">
      <c r="A1504">
        <v>307</v>
      </c>
      <c r="B1504">
        <v>271002000</v>
      </c>
      <c r="C1504">
        <v>2</v>
      </c>
    </row>
    <row r="1505" spans="1:3" ht="15.75" customHeight="1" x14ac:dyDescent="0.15">
      <c r="A1505">
        <v>307</v>
      </c>
      <c r="B1505">
        <v>271005000</v>
      </c>
      <c r="C1505">
        <v>1</v>
      </c>
    </row>
    <row r="1506" spans="1:3" ht="15.75" customHeight="1" x14ac:dyDescent="0.15">
      <c r="A1506">
        <v>307</v>
      </c>
      <c r="B1506">
        <v>271006000</v>
      </c>
      <c r="C1506">
        <v>2</v>
      </c>
    </row>
    <row r="1507" spans="1:3" ht="15.75" customHeight="1" x14ac:dyDescent="0.15">
      <c r="A1507">
        <v>307</v>
      </c>
      <c r="B1507">
        <v>271008000</v>
      </c>
      <c r="C1507">
        <v>2</v>
      </c>
    </row>
    <row r="1508" spans="1:3" ht="15.75" customHeight="1" x14ac:dyDescent="0.15">
      <c r="A1508">
        <v>307</v>
      </c>
      <c r="B1508">
        <v>271010000</v>
      </c>
      <c r="C1508">
        <v>1</v>
      </c>
    </row>
    <row r="1509" spans="1:3" ht="15.75" customHeight="1" x14ac:dyDescent="0.15">
      <c r="A1509">
        <v>307</v>
      </c>
      <c r="B1509">
        <v>271011000</v>
      </c>
      <c r="C1509">
        <v>2</v>
      </c>
    </row>
    <row r="1510" spans="1:3" ht="15.75" customHeight="1" x14ac:dyDescent="0.15">
      <c r="A1510">
        <v>307</v>
      </c>
      <c r="B1510">
        <v>271020000</v>
      </c>
      <c r="C1510">
        <v>1</v>
      </c>
    </row>
    <row r="1511" spans="1:3" ht="15.75" customHeight="1" x14ac:dyDescent="0.15">
      <c r="A1511">
        <v>307</v>
      </c>
      <c r="B1511">
        <v>271021000</v>
      </c>
      <c r="C1511">
        <v>1</v>
      </c>
    </row>
    <row r="1512" spans="1:3" ht="15.75" customHeight="1" x14ac:dyDescent="0.15">
      <c r="A1512">
        <v>307</v>
      </c>
      <c r="B1512">
        <v>271059000</v>
      </c>
      <c r="C1512">
        <v>6</v>
      </c>
    </row>
    <row r="1513" spans="1:3" ht="15.75" customHeight="1" x14ac:dyDescent="0.15">
      <c r="A1513">
        <v>307</v>
      </c>
      <c r="B1513">
        <v>271074000</v>
      </c>
      <c r="C1513">
        <v>1</v>
      </c>
    </row>
    <row r="1514" spans="1:3" ht="15.75" customHeight="1" x14ac:dyDescent="0.15">
      <c r="A1514">
        <v>307</v>
      </c>
      <c r="B1514">
        <v>271206000</v>
      </c>
      <c r="C1514">
        <v>2</v>
      </c>
    </row>
    <row r="1515" spans="1:3" ht="15.75" customHeight="1" x14ac:dyDescent="0.15">
      <c r="A1515">
        <v>307</v>
      </c>
      <c r="B1515">
        <v>271207000</v>
      </c>
      <c r="C1515">
        <v>2</v>
      </c>
    </row>
    <row r="1516" spans="1:3" ht="15.75" customHeight="1" x14ac:dyDescent="0.15">
      <c r="A1516">
        <v>307</v>
      </c>
      <c r="B1516">
        <v>271211000</v>
      </c>
      <c r="C1516">
        <v>1</v>
      </c>
    </row>
    <row r="1517" spans="1:3" ht="15.75" customHeight="1" x14ac:dyDescent="0.15">
      <c r="A1517">
        <v>307</v>
      </c>
      <c r="B1517">
        <v>271212000</v>
      </c>
      <c r="C1517">
        <v>1</v>
      </c>
    </row>
    <row r="1518" spans="1:3" ht="15.75" customHeight="1" x14ac:dyDescent="0.15">
      <c r="A1518">
        <v>307</v>
      </c>
      <c r="B1518">
        <v>271213000</v>
      </c>
      <c r="C1518">
        <v>1</v>
      </c>
    </row>
    <row r="1519" spans="1:3" ht="15.75" customHeight="1" x14ac:dyDescent="0.15">
      <c r="A1519">
        <v>307</v>
      </c>
      <c r="B1519">
        <v>271214000</v>
      </c>
      <c r="C1519">
        <v>4</v>
      </c>
    </row>
    <row r="1520" spans="1:3" ht="15.75" customHeight="1" x14ac:dyDescent="0.15">
      <c r="A1520">
        <v>307</v>
      </c>
      <c r="B1520">
        <v>271215000</v>
      </c>
      <c r="C1520">
        <v>1</v>
      </c>
    </row>
    <row r="1521" spans="1:3" ht="15.75" customHeight="1" x14ac:dyDescent="0.15">
      <c r="A1521">
        <v>307</v>
      </c>
      <c r="B1521">
        <v>271221000</v>
      </c>
      <c r="C1521">
        <v>2</v>
      </c>
    </row>
    <row r="1522" spans="1:3" ht="15.75" customHeight="1" x14ac:dyDescent="0.15">
      <c r="A1522">
        <v>307</v>
      </c>
      <c r="B1522">
        <v>271259000</v>
      </c>
      <c r="C1522">
        <v>1</v>
      </c>
    </row>
    <row r="1523" spans="1:3" ht="15.75" customHeight="1" x14ac:dyDescent="0.15">
      <c r="A1523">
        <v>307</v>
      </c>
      <c r="B1523">
        <v>271260000</v>
      </c>
      <c r="C1523">
        <v>1</v>
      </c>
    </row>
    <row r="1524" spans="1:3" ht="15.75" customHeight="1" x14ac:dyDescent="0.15">
      <c r="A1524">
        <v>307</v>
      </c>
      <c r="B1524">
        <v>271302000</v>
      </c>
      <c r="C1524">
        <v>1</v>
      </c>
    </row>
    <row r="1525" spans="1:3" ht="15.75" customHeight="1" x14ac:dyDescent="0.15">
      <c r="A1525">
        <v>307</v>
      </c>
      <c r="B1525">
        <v>271454000</v>
      </c>
      <c r="C1525">
        <v>1</v>
      </c>
    </row>
    <row r="1526" spans="1:3" ht="15.75" customHeight="1" x14ac:dyDescent="0.15">
      <c r="A1526">
        <v>307</v>
      </c>
      <c r="B1526">
        <v>271503000</v>
      </c>
      <c r="C1526">
        <v>1</v>
      </c>
    </row>
    <row r="1527" spans="1:3" ht="15.75" customHeight="1" x14ac:dyDescent="0.15">
      <c r="A1527">
        <v>307</v>
      </c>
      <c r="B1527">
        <v>271512000</v>
      </c>
      <c r="C1527">
        <v>2</v>
      </c>
    </row>
    <row r="1528" spans="1:3" ht="15.75" customHeight="1" x14ac:dyDescent="0.15">
      <c r="A1528">
        <v>307</v>
      </c>
      <c r="B1528">
        <v>271514000</v>
      </c>
      <c r="C1528">
        <v>1</v>
      </c>
    </row>
    <row r="1529" spans="1:3" ht="15.75" customHeight="1" x14ac:dyDescent="0.15">
      <c r="A1529">
        <v>307</v>
      </c>
      <c r="B1529">
        <v>271604000</v>
      </c>
      <c r="C1529">
        <v>1</v>
      </c>
    </row>
    <row r="1530" spans="1:3" ht="15.75" customHeight="1" x14ac:dyDescent="0.15">
      <c r="A1530">
        <v>307</v>
      </c>
      <c r="B1530">
        <v>271609000</v>
      </c>
      <c r="C1530">
        <v>1</v>
      </c>
    </row>
    <row r="1531" spans="1:3" ht="15.75" customHeight="1" x14ac:dyDescent="0.15">
      <c r="A1531">
        <v>307</v>
      </c>
      <c r="B1531">
        <v>277143000</v>
      </c>
      <c r="C1531">
        <v>1</v>
      </c>
    </row>
    <row r="1532" spans="1:3" ht="15.75" customHeight="1" x14ac:dyDescent="0.15">
      <c r="A1532">
        <v>309</v>
      </c>
      <c r="B1532">
        <v>270140000</v>
      </c>
      <c r="C1532">
        <v>1</v>
      </c>
    </row>
    <row r="1533" spans="1:3" ht="15.75" customHeight="1" x14ac:dyDescent="0.15">
      <c r="A1533">
        <v>309</v>
      </c>
      <c r="B1533">
        <v>270217000</v>
      </c>
      <c r="C1533">
        <v>1</v>
      </c>
    </row>
    <row r="1534" spans="1:3" ht="15.75" customHeight="1" x14ac:dyDescent="0.15">
      <c r="A1534">
        <v>309</v>
      </c>
      <c r="B1534">
        <v>270304000</v>
      </c>
      <c r="C1534">
        <v>1</v>
      </c>
    </row>
    <row r="1535" spans="1:3" ht="15.75" customHeight="1" x14ac:dyDescent="0.15">
      <c r="A1535">
        <v>309</v>
      </c>
      <c r="B1535">
        <v>270310000</v>
      </c>
      <c r="C1535">
        <v>1</v>
      </c>
    </row>
    <row r="1536" spans="1:3" ht="15.75" customHeight="1" x14ac:dyDescent="0.15">
      <c r="A1536">
        <v>309</v>
      </c>
      <c r="B1536">
        <v>270316000</v>
      </c>
      <c r="C1536">
        <v>3</v>
      </c>
    </row>
    <row r="1537" spans="1:3" ht="15.75" customHeight="1" x14ac:dyDescent="0.15">
      <c r="A1537">
        <v>309</v>
      </c>
      <c r="B1537">
        <v>270328000</v>
      </c>
      <c r="C1537">
        <v>1</v>
      </c>
    </row>
    <row r="1538" spans="1:3" ht="15.75" customHeight="1" x14ac:dyDescent="0.15">
      <c r="A1538">
        <v>309</v>
      </c>
      <c r="B1538">
        <v>270403000</v>
      </c>
      <c r="C1538">
        <v>1</v>
      </c>
    </row>
    <row r="1539" spans="1:3" ht="15.75" customHeight="1" x14ac:dyDescent="0.15">
      <c r="A1539">
        <v>309</v>
      </c>
      <c r="B1539">
        <v>270710000</v>
      </c>
      <c r="C1539">
        <v>4</v>
      </c>
    </row>
    <row r="1540" spans="1:3" ht="15.75" customHeight="1" x14ac:dyDescent="0.15">
      <c r="A1540">
        <v>309</v>
      </c>
      <c r="B1540">
        <v>270716000</v>
      </c>
      <c r="C1540">
        <v>1</v>
      </c>
    </row>
    <row r="1541" spans="1:3" ht="15.75" customHeight="1" x14ac:dyDescent="0.15">
      <c r="A1541">
        <v>309</v>
      </c>
      <c r="B1541">
        <v>270801000</v>
      </c>
      <c r="C1541">
        <v>1</v>
      </c>
    </row>
    <row r="1542" spans="1:3" ht="15.75" customHeight="1" x14ac:dyDescent="0.15">
      <c r="A1542">
        <v>309</v>
      </c>
      <c r="B1542">
        <v>270803000</v>
      </c>
      <c r="C1542">
        <v>2</v>
      </c>
    </row>
    <row r="1543" spans="1:3" ht="15.75" customHeight="1" x14ac:dyDescent="0.15">
      <c r="A1543">
        <v>309</v>
      </c>
      <c r="B1543">
        <v>270810000</v>
      </c>
      <c r="C1543">
        <v>1</v>
      </c>
    </row>
    <row r="1544" spans="1:3" ht="15.75" customHeight="1" x14ac:dyDescent="0.15">
      <c r="A1544">
        <v>309</v>
      </c>
      <c r="B1544">
        <v>270903000</v>
      </c>
      <c r="C1544">
        <v>1</v>
      </c>
    </row>
    <row r="1545" spans="1:3" ht="15.75" customHeight="1" x14ac:dyDescent="0.15">
      <c r="A1545">
        <v>309</v>
      </c>
      <c r="B1545">
        <v>270906000</v>
      </c>
      <c r="C1545">
        <v>1</v>
      </c>
    </row>
    <row r="1546" spans="1:3" ht="15.75" customHeight="1" x14ac:dyDescent="0.15">
      <c r="A1546">
        <v>309</v>
      </c>
      <c r="B1546">
        <v>270926000</v>
      </c>
      <c r="C1546">
        <v>3</v>
      </c>
    </row>
    <row r="1547" spans="1:3" ht="15.75" customHeight="1" x14ac:dyDescent="0.15">
      <c r="A1547">
        <v>309</v>
      </c>
      <c r="B1547">
        <v>271005000</v>
      </c>
      <c r="C1547">
        <v>2</v>
      </c>
    </row>
    <row r="1548" spans="1:3" ht="15.75" customHeight="1" x14ac:dyDescent="0.15">
      <c r="A1548">
        <v>309</v>
      </c>
      <c r="B1548">
        <v>271006000</v>
      </c>
      <c r="C1548">
        <v>2</v>
      </c>
    </row>
    <row r="1549" spans="1:3" ht="15.75" customHeight="1" x14ac:dyDescent="0.15">
      <c r="A1549">
        <v>309</v>
      </c>
      <c r="B1549">
        <v>271010000</v>
      </c>
      <c r="C1549">
        <v>1</v>
      </c>
    </row>
    <row r="1550" spans="1:3" ht="15.75" customHeight="1" x14ac:dyDescent="0.15">
      <c r="A1550">
        <v>309</v>
      </c>
      <c r="B1550">
        <v>271011000</v>
      </c>
      <c r="C1550">
        <v>2</v>
      </c>
    </row>
    <row r="1551" spans="1:3" ht="15.75" customHeight="1" x14ac:dyDescent="0.15">
      <c r="A1551">
        <v>309</v>
      </c>
      <c r="B1551">
        <v>271020000</v>
      </c>
      <c r="C1551">
        <v>1</v>
      </c>
    </row>
    <row r="1552" spans="1:3" ht="15.75" customHeight="1" x14ac:dyDescent="0.15">
      <c r="A1552">
        <v>309</v>
      </c>
      <c r="B1552">
        <v>271021000</v>
      </c>
      <c r="C1552">
        <v>1</v>
      </c>
    </row>
    <row r="1553" spans="1:3" ht="15.75" customHeight="1" x14ac:dyDescent="0.15">
      <c r="A1553">
        <v>309</v>
      </c>
      <c r="B1553">
        <v>271059000</v>
      </c>
      <c r="C1553">
        <v>2</v>
      </c>
    </row>
    <row r="1554" spans="1:3" ht="15.75" customHeight="1" x14ac:dyDescent="0.15">
      <c r="A1554">
        <v>309</v>
      </c>
      <c r="B1554">
        <v>271206000</v>
      </c>
      <c r="C1554">
        <v>4</v>
      </c>
    </row>
    <row r="1555" spans="1:3" ht="15.75" customHeight="1" x14ac:dyDescent="0.15">
      <c r="A1555">
        <v>309</v>
      </c>
      <c r="B1555">
        <v>271207000</v>
      </c>
      <c r="C1555">
        <v>1</v>
      </c>
    </row>
    <row r="1556" spans="1:3" ht="15.75" customHeight="1" x14ac:dyDescent="0.15">
      <c r="A1556">
        <v>309</v>
      </c>
      <c r="B1556">
        <v>271214000</v>
      </c>
      <c r="C1556">
        <v>1</v>
      </c>
    </row>
    <row r="1557" spans="1:3" ht="15.75" customHeight="1" x14ac:dyDescent="0.15">
      <c r="A1557">
        <v>309</v>
      </c>
      <c r="B1557">
        <v>271215000</v>
      </c>
      <c r="C1557">
        <v>2</v>
      </c>
    </row>
    <row r="1558" spans="1:3" ht="15.75" customHeight="1" x14ac:dyDescent="0.15">
      <c r="A1558">
        <v>309</v>
      </c>
      <c r="B1558">
        <v>271221000</v>
      </c>
      <c r="C1558">
        <v>1</v>
      </c>
    </row>
    <row r="1559" spans="1:3" ht="15.75" customHeight="1" x14ac:dyDescent="0.15">
      <c r="A1559">
        <v>309</v>
      </c>
      <c r="B1559">
        <v>271259000</v>
      </c>
      <c r="C1559">
        <v>1</v>
      </c>
    </row>
    <row r="1560" spans="1:3" ht="15.75" customHeight="1" x14ac:dyDescent="0.15">
      <c r="A1560">
        <v>309</v>
      </c>
      <c r="B1560">
        <v>271260000</v>
      </c>
      <c r="C1560">
        <v>1</v>
      </c>
    </row>
    <row r="1561" spans="1:3" ht="15.75" customHeight="1" x14ac:dyDescent="0.15">
      <c r="A1561">
        <v>309</v>
      </c>
      <c r="B1561">
        <v>271503000</v>
      </c>
      <c r="C1561">
        <v>2</v>
      </c>
    </row>
    <row r="1562" spans="1:3" ht="15.75" customHeight="1" x14ac:dyDescent="0.15">
      <c r="A1562">
        <v>309</v>
      </c>
      <c r="B1562">
        <v>271612000</v>
      </c>
      <c r="C1562">
        <v>1</v>
      </c>
    </row>
    <row r="1563" spans="1:3" ht="15.75" customHeight="1" x14ac:dyDescent="0.15">
      <c r="A1563">
        <v>310</v>
      </c>
      <c r="B1563">
        <v>270204000</v>
      </c>
      <c r="C1563">
        <v>1</v>
      </c>
    </row>
    <row r="1564" spans="1:3" ht="15.75" customHeight="1" x14ac:dyDescent="0.15">
      <c r="A1564">
        <v>310</v>
      </c>
      <c r="B1564">
        <v>270710000</v>
      </c>
      <c r="C1564">
        <v>2</v>
      </c>
    </row>
    <row r="1565" spans="1:3" ht="15.75" customHeight="1" x14ac:dyDescent="0.15">
      <c r="A1565">
        <v>310</v>
      </c>
      <c r="B1565">
        <v>270803000</v>
      </c>
      <c r="C1565">
        <v>3</v>
      </c>
    </row>
    <row r="1566" spans="1:3" ht="15.75" customHeight="1" x14ac:dyDescent="0.15">
      <c r="A1566">
        <v>310</v>
      </c>
      <c r="B1566">
        <v>270810000</v>
      </c>
      <c r="C1566">
        <v>1</v>
      </c>
    </row>
    <row r="1567" spans="1:3" ht="15.75" customHeight="1" x14ac:dyDescent="0.15">
      <c r="A1567">
        <v>310</v>
      </c>
      <c r="B1567">
        <v>270910000</v>
      </c>
      <c r="C1567">
        <v>1</v>
      </c>
    </row>
    <row r="1568" spans="1:3" ht="15.75" customHeight="1" x14ac:dyDescent="0.15">
      <c r="A1568">
        <v>310</v>
      </c>
      <c r="B1568">
        <v>270926000</v>
      </c>
      <c r="C1568">
        <v>1</v>
      </c>
    </row>
    <row r="1569" spans="1:3" ht="15.75" customHeight="1" x14ac:dyDescent="0.15">
      <c r="A1569">
        <v>310</v>
      </c>
      <c r="B1569">
        <v>271002000</v>
      </c>
      <c r="C1569">
        <v>1</v>
      </c>
    </row>
    <row r="1570" spans="1:3" ht="15.75" customHeight="1" x14ac:dyDescent="0.15">
      <c r="A1570">
        <v>310</v>
      </c>
      <c r="B1570">
        <v>271005000</v>
      </c>
      <c r="C1570">
        <v>1</v>
      </c>
    </row>
    <row r="1571" spans="1:3" ht="15.75" customHeight="1" x14ac:dyDescent="0.15">
      <c r="A1571">
        <v>310</v>
      </c>
      <c r="B1571">
        <v>271011000</v>
      </c>
      <c r="C1571">
        <v>2</v>
      </c>
    </row>
    <row r="1572" spans="1:3" ht="15.75" customHeight="1" x14ac:dyDescent="0.15">
      <c r="A1572">
        <v>310</v>
      </c>
      <c r="B1572">
        <v>271059000</v>
      </c>
      <c r="C1572">
        <v>2</v>
      </c>
    </row>
    <row r="1573" spans="1:3" ht="15.75" customHeight="1" x14ac:dyDescent="0.15">
      <c r="A1573">
        <v>310</v>
      </c>
      <c r="B1573">
        <v>271207000</v>
      </c>
      <c r="C1573">
        <v>2</v>
      </c>
    </row>
    <row r="1574" spans="1:3" ht="15.75" customHeight="1" x14ac:dyDescent="0.15">
      <c r="A1574">
        <v>310</v>
      </c>
      <c r="B1574">
        <v>271212000</v>
      </c>
      <c r="C1574">
        <v>1</v>
      </c>
    </row>
    <row r="1575" spans="1:3" ht="15.75" customHeight="1" x14ac:dyDescent="0.15">
      <c r="A1575">
        <v>310</v>
      </c>
      <c r="B1575">
        <v>271221000</v>
      </c>
      <c r="C1575">
        <v>2</v>
      </c>
    </row>
    <row r="1576" spans="1:3" ht="15.75" customHeight="1" x14ac:dyDescent="0.15">
      <c r="A1576">
        <v>310</v>
      </c>
      <c r="B1576">
        <v>271301000</v>
      </c>
      <c r="C1576">
        <v>1</v>
      </c>
    </row>
    <row r="1577" spans="1:3" ht="15.75" customHeight="1" x14ac:dyDescent="0.15">
      <c r="A1577">
        <v>310</v>
      </c>
      <c r="B1577">
        <v>271306000</v>
      </c>
      <c r="C1577">
        <v>1</v>
      </c>
    </row>
    <row r="1578" spans="1:3" ht="15.75" customHeight="1" x14ac:dyDescent="0.15">
      <c r="A1578">
        <v>310</v>
      </c>
      <c r="B1578">
        <v>271512000</v>
      </c>
      <c r="C1578">
        <v>2</v>
      </c>
    </row>
    <row r="1579" spans="1:3" ht="15.75" customHeight="1" x14ac:dyDescent="0.15">
      <c r="A1579">
        <v>310</v>
      </c>
      <c r="B1579">
        <v>271604000</v>
      </c>
      <c r="C1579">
        <v>2</v>
      </c>
    </row>
    <row r="1580" spans="1:3" ht="15.75" customHeight="1" x14ac:dyDescent="0.15">
      <c r="A1580">
        <v>311</v>
      </c>
      <c r="B1580">
        <v>270140000</v>
      </c>
      <c r="C1580">
        <v>1</v>
      </c>
    </row>
    <row r="1581" spans="1:3" ht="15.75" customHeight="1" x14ac:dyDescent="0.15">
      <c r="A1581">
        <v>311</v>
      </c>
      <c r="B1581">
        <v>270328000</v>
      </c>
      <c r="C1581">
        <v>2</v>
      </c>
    </row>
    <row r="1582" spans="1:3" ht="15.75" customHeight="1" x14ac:dyDescent="0.15">
      <c r="A1582">
        <v>311</v>
      </c>
      <c r="B1582">
        <v>270330000</v>
      </c>
      <c r="C1582">
        <v>1</v>
      </c>
    </row>
    <row r="1583" spans="1:3" ht="15.75" customHeight="1" x14ac:dyDescent="0.15">
      <c r="A1583">
        <v>311</v>
      </c>
      <c r="B1583">
        <v>270412000</v>
      </c>
      <c r="C1583">
        <v>2</v>
      </c>
    </row>
    <row r="1584" spans="1:3" ht="15.75" customHeight="1" x14ac:dyDescent="0.15">
      <c r="A1584">
        <v>311</v>
      </c>
      <c r="B1584">
        <v>270710000</v>
      </c>
      <c r="C1584">
        <v>5</v>
      </c>
    </row>
    <row r="1585" spans="1:3" ht="15.75" customHeight="1" x14ac:dyDescent="0.15">
      <c r="A1585">
        <v>311</v>
      </c>
      <c r="B1585">
        <v>270716000</v>
      </c>
      <c r="C1585">
        <v>1</v>
      </c>
    </row>
    <row r="1586" spans="1:3" ht="15.75" customHeight="1" x14ac:dyDescent="0.15">
      <c r="A1586">
        <v>311</v>
      </c>
      <c r="B1586">
        <v>270803000</v>
      </c>
      <c r="C1586">
        <v>1</v>
      </c>
    </row>
    <row r="1587" spans="1:3" ht="15.75" customHeight="1" x14ac:dyDescent="0.15">
      <c r="A1587">
        <v>311</v>
      </c>
      <c r="B1587">
        <v>270806000</v>
      </c>
      <c r="C1587">
        <v>1</v>
      </c>
    </row>
    <row r="1588" spans="1:3" ht="15.75" customHeight="1" x14ac:dyDescent="0.15">
      <c r="A1588">
        <v>311</v>
      </c>
      <c r="B1588">
        <v>270903000</v>
      </c>
      <c r="C1588">
        <v>1</v>
      </c>
    </row>
    <row r="1589" spans="1:3" ht="15.75" customHeight="1" x14ac:dyDescent="0.15">
      <c r="A1589">
        <v>311</v>
      </c>
      <c r="B1589">
        <v>270910000</v>
      </c>
      <c r="C1589">
        <v>1</v>
      </c>
    </row>
    <row r="1590" spans="1:3" ht="15.75" customHeight="1" x14ac:dyDescent="0.15">
      <c r="A1590">
        <v>311</v>
      </c>
      <c r="B1590">
        <v>270926000</v>
      </c>
      <c r="C1590">
        <v>3</v>
      </c>
    </row>
    <row r="1591" spans="1:3" ht="15.75" customHeight="1" x14ac:dyDescent="0.15">
      <c r="A1591">
        <v>311</v>
      </c>
      <c r="B1591">
        <v>271010000</v>
      </c>
      <c r="C1591">
        <v>1</v>
      </c>
    </row>
    <row r="1592" spans="1:3" ht="15.75" customHeight="1" x14ac:dyDescent="0.15">
      <c r="A1592">
        <v>311</v>
      </c>
      <c r="B1592">
        <v>271011000</v>
      </c>
      <c r="C1592">
        <v>1</v>
      </c>
    </row>
    <row r="1593" spans="1:3" ht="15.75" customHeight="1" x14ac:dyDescent="0.15">
      <c r="A1593">
        <v>311</v>
      </c>
      <c r="B1593">
        <v>271020000</v>
      </c>
      <c r="C1593">
        <v>2</v>
      </c>
    </row>
    <row r="1594" spans="1:3" ht="15.75" customHeight="1" x14ac:dyDescent="0.15">
      <c r="A1594">
        <v>311</v>
      </c>
      <c r="B1594">
        <v>271021000</v>
      </c>
      <c r="C1594">
        <v>1</v>
      </c>
    </row>
    <row r="1595" spans="1:3" ht="15.75" customHeight="1" x14ac:dyDescent="0.15">
      <c r="A1595">
        <v>311</v>
      </c>
      <c r="B1595">
        <v>271059000</v>
      </c>
      <c r="C1595">
        <v>2</v>
      </c>
    </row>
    <row r="1596" spans="1:3" ht="15.75" customHeight="1" x14ac:dyDescent="0.15">
      <c r="A1596">
        <v>311</v>
      </c>
      <c r="B1596">
        <v>271074000</v>
      </c>
      <c r="C1596">
        <v>1</v>
      </c>
    </row>
    <row r="1597" spans="1:3" ht="15.75" customHeight="1" x14ac:dyDescent="0.15">
      <c r="A1597">
        <v>311</v>
      </c>
      <c r="B1597">
        <v>271206000</v>
      </c>
      <c r="C1597">
        <v>2</v>
      </c>
    </row>
    <row r="1598" spans="1:3" ht="15.75" customHeight="1" x14ac:dyDescent="0.15">
      <c r="A1598">
        <v>311</v>
      </c>
      <c r="B1598">
        <v>271207000</v>
      </c>
      <c r="C1598">
        <v>2</v>
      </c>
    </row>
    <row r="1599" spans="1:3" ht="15.75" customHeight="1" x14ac:dyDescent="0.15">
      <c r="A1599">
        <v>311</v>
      </c>
      <c r="B1599">
        <v>271215000</v>
      </c>
      <c r="C1599">
        <v>1</v>
      </c>
    </row>
    <row r="1600" spans="1:3" ht="15.75" customHeight="1" x14ac:dyDescent="0.15">
      <c r="A1600">
        <v>311</v>
      </c>
      <c r="B1600">
        <v>271302000</v>
      </c>
      <c r="C1600">
        <v>1</v>
      </c>
    </row>
    <row r="1601" spans="1:3" ht="15.75" customHeight="1" x14ac:dyDescent="0.15">
      <c r="A1601">
        <v>312</v>
      </c>
      <c r="B1601">
        <v>270204000</v>
      </c>
      <c r="C1601">
        <v>1</v>
      </c>
    </row>
    <row r="1602" spans="1:3" ht="15.75" customHeight="1" x14ac:dyDescent="0.15">
      <c r="A1602">
        <v>312</v>
      </c>
      <c r="B1602">
        <v>270217000</v>
      </c>
      <c r="C1602">
        <v>1</v>
      </c>
    </row>
    <row r="1603" spans="1:3" ht="15.75" customHeight="1" x14ac:dyDescent="0.15">
      <c r="A1603">
        <v>312</v>
      </c>
      <c r="B1603">
        <v>270316000</v>
      </c>
      <c r="C1603">
        <v>1</v>
      </c>
    </row>
    <row r="1604" spans="1:3" ht="15.75" customHeight="1" x14ac:dyDescent="0.15">
      <c r="A1604">
        <v>312</v>
      </c>
      <c r="B1604">
        <v>270328000</v>
      </c>
      <c r="C1604">
        <v>1</v>
      </c>
    </row>
    <row r="1605" spans="1:3" ht="15.75" customHeight="1" x14ac:dyDescent="0.15">
      <c r="A1605">
        <v>312</v>
      </c>
      <c r="B1605">
        <v>270412000</v>
      </c>
      <c r="C1605">
        <v>1</v>
      </c>
    </row>
    <row r="1606" spans="1:3" ht="15.75" customHeight="1" x14ac:dyDescent="0.15">
      <c r="A1606">
        <v>312</v>
      </c>
      <c r="B1606">
        <v>270413000</v>
      </c>
      <c r="C1606">
        <v>1</v>
      </c>
    </row>
    <row r="1607" spans="1:3" ht="15.75" customHeight="1" x14ac:dyDescent="0.15">
      <c r="A1607">
        <v>312</v>
      </c>
      <c r="B1607">
        <v>270710000</v>
      </c>
      <c r="C1607">
        <v>1</v>
      </c>
    </row>
    <row r="1608" spans="1:3" ht="15.75" customHeight="1" x14ac:dyDescent="0.15">
      <c r="A1608">
        <v>312</v>
      </c>
      <c r="B1608">
        <v>270805000</v>
      </c>
      <c r="C1608">
        <v>1</v>
      </c>
    </row>
    <row r="1609" spans="1:3" ht="15.75" customHeight="1" x14ac:dyDescent="0.15">
      <c r="A1609">
        <v>312</v>
      </c>
      <c r="B1609">
        <v>270806000</v>
      </c>
      <c r="C1609">
        <v>1</v>
      </c>
    </row>
    <row r="1610" spans="1:3" ht="15.75" customHeight="1" x14ac:dyDescent="0.15">
      <c r="A1610">
        <v>312</v>
      </c>
      <c r="B1610">
        <v>270810000</v>
      </c>
      <c r="C1610">
        <v>2</v>
      </c>
    </row>
    <row r="1611" spans="1:3" ht="15.75" customHeight="1" x14ac:dyDescent="0.15">
      <c r="A1611">
        <v>312</v>
      </c>
      <c r="B1611">
        <v>270903000</v>
      </c>
      <c r="C1611">
        <v>1</v>
      </c>
    </row>
    <row r="1612" spans="1:3" ht="15.75" customHeight="1" x14ac:dyDescent="0.15">
      <c r="A1612">
        <v>312</v>
      </c>
      <c r="B1612">
        <v>270905000</v>
      </c>
      <c r="C1612">
        <v>1</v>
      </c>
    </row>
    <row r="1613" spans="1:3" ht="15.75" customHeight="1" x14ac:dyDescent="0.15">
      <c r="A1613">
        <v>312</v>
      </c>
      <c r="B1613">
        <v>270906000</v>
      </c>
      <c r="C1613">
        <v>1</v>
      </c>
    </row>
    <row r="1614" spans="1:3" ht="15.75" customHeight="1" x14ac:dyDescent="0.15">
      <c r="A1614">
        <v>312</v>
      </c>
      <c r="B1614">
        <v>270910000</v>
      </c>
      <c r="C1614">
        <v>1</v>
      </c>
    </row>
    <row r="1615" spans="1:3" ht="15.75" customHeight="1" x14ac:dyDescent="0.15">
      <c r="A1615">
        <v>312</v>
      </c>
      <c r="B1615">
        <v>270926000</v>
      </c>
      <c r="C1615">
        <v>2</v>
      </c>
    </row>
    <row r="1616" spans="1:3" ht="15.75" customHeight="1" x14ac:dyDescent="0.15">
      <c r="A1616">
        <v>312</v>
      </c>
      <c r="B1616">
        <v>271005000</v>
      </c>
      <c r="C1616">
        <v>1</v>
      </c>
    </row>
    <row r="1617" spans="1:3" ht="15.75" customHeight="1" x14ac:dyDescent="0.15">
      <c r="A1617">
        <v>312</v>
      </c>
      <c r="B1617">
        <v>271008000</v>
      </c>
      <c r="C1617">
        <v>2</v>
      </c>
    </row>
    <row r="1618" spans="1:3" ht="15.75" customHeight="1" x14ac:dyDescent="0.15">
      <c r="A1618">
        <v>312</v>
      </c>
      <c r="B1618">
        <v>271010000</v>
      </c>
      <c r="C1618">
        <v>1</v>
      </c>
    </row>
    <row r="1619" spans="1:3" ht="15.75" customHeight="1" x14ac:dyDescent="0.15">
      <c r="A1619">
        <v>312</v>
      </c>
      <c r="B1619">
        <v>271011000</v>
      </c>
      <c r="C1619">
        <v>2</v>
      </c>
    </row>
    <row r="1620" spans="1:3" ht="15.75" customHeight="1" x14ac:dyDescent="0.15">
      <c r="A1620">
        <v>312</v>
      </c>
      <c r="B1620">
        <v>271020000</v>
      </c>
      <c r="C1620">
        <v>2</v>
      </c>
    </row>
    <row r="1621" spans="1:3" ht="15.75" customHeight="1" x14ac:dyDescent="0.15">
      <c r="A1621">
        <v>312</v>
      </c>
      <c r="B1621">
        <v>271021000</v>
      </c>
      <c r="C1621">
        <v>1</v>
      </c>
    </row>
    <row r="1622" spans="1:3" ht="15.75" customHeight="1" x14ac:dyDescent="0.15">
      <c r="A1622">
        <v>312</v>
      </c>
      <c r="B1622">
        <v>271059000</v>
      </c>
      <c r="C1622">
        <v>5</v>
      </c>
    </row>
    <row r="1623" spans="1:3" ht="15.75" customHeight="1" x14ac:dyDescent="0.15">
      <c r="A1623">
        <v>312</v>
      </c>
      <c r="B1623">
        <v>271074000</v>
      </c>
      <c r="C1623">
        <v>2</v>
      </c>
    </row>
    <row r="1624" spans="1:3" ht="15.75" customHeight="1" x14ac:dyDescent="0.15">
      <c r="A1624">
        <v>312</v>
      </c>
      <c r="B1624">
        <v>271206000</v>
      </c>
      <c r="C1624">
        <v>3</v>
      </c>
    </row>
    <row r="1625" spans="1:3" ht="15.75" customHeight="1" x14ac:dyDescent="0.15">
      <c r="A1625">
        <v>312</v>
      </c>
      <c r="B1625">
        <v>271207000</v>
      </c>
      <c r="C1625">
        <v>6</v>
      </c>
    </row>
    <row r="1626" spans="1:3" ht="15.75" customHeight="1" x14ac:dyDescent="0.15">
      <c r="A1626">
        <v>312</v>
      </c>
      <c r="B1626">
        <v>271214000</v>
      </c>
      <c r="C1626">
        <v>2</v>
      </c>
    </row>
    <row r="1627" spans="1:3" ht="15.75" customHeight="1" x14ac:dyDescent="0.15">
      <c r="A1627">
        <v>312</v>
      </c>
      <c r="B1627">
        <v>271215000</v>
      </c>
      <c r="C1627">
        <v>1</v>
      </c>
    </row>
    <row r="1628" spans="1:3" ht="15.75" customHeight="1" x14ac:dyDescent="0.15">
      <c r="A1628">
        <v>312</v>
      </c>
      <c r="B1628">
        <v>271221000</v>
      </c>
      <c r="C1628">
        <v>1</v>
      </c>
    </row>
    <row r="1629" spans="1:3" ht="15.75" customHeight="1" x14ac:dyDescent="0.15">
      <c r="A1629">
        <v>312</v>
      </c>
      <c r="B1629">
        <v>271259000</v>
      </c>
      <c r="C1629">
        <v>1</v>
      </c>
    </row>
    <row r="1630" spans="1:3" ht="15.75" customHeight="1" x14ac:dyDescent="0.15">
      <c r="A1630">
        <v>312</v>
      </c>
      <c r="B1630">
        <v>271503000</v>
      </c>
      <c r="C1630">
        <v>3</v>
      </c>
    </row>
    <row r="1631" spans="1:3" ht="15.75" customHeight="1" x14ac:dyDescent="0.15">
      <c r="A1631">
        <v>312</v>
      </c>
      <c r="B1631">
        <v>271612000</v>
      </c>
      <c r="C1631">
        <v>1</v>
      </c>
    </row>
    <row r="1632" spans="1:3" ht="15.75" customHeight="1" x14ac:dyDescent="0.15">
      <c r="A1632">
        <v>313</v>
      </c>
      <c r="B1632">
        <v>270140000</v>
      </c>
      <c r="C1632">
        <v>3</v>
      </c>
    </row>
    <row r="1633" spans="1:3" ht="15.75" customHeight="1" x14ac:dyDescent="0.15">
      <c r="A1633">
        <v>313</v>
      </c>
      <c r="B1633">
        <v>270204000</v>
      </c>
      <c r="C1633">
        <v>1</v>
      </c>
    </row>
    <row r="1634" spans="1:3" ht="15.75" customHeight="1" x14ac:dyDescent="0.15">
      <c r="A1634">
        <v>313</v>
      </c>
      <c r="B1634">
        <v>270304000</v>
      </c>
      <c r="C1634">
        <v>1</v>
      </c>
    </row>
    <row r="1635" spans="1:3" ht="15.75" customHeight="1" x14ac:dyDescent="0.15">
      <c r="A1635">
        <v>313</v>
      </c>
      <c r="B1635">
        <v>270310000</v>
      </c>
      <c r="C1635">
        <v>1</v>
      </c>
    </row>
    <row r="1636" spans="1:3" ht="15.75" customHeight="1" x14ac:dyDescent="0.15">
      <c r="A1636">
        <v>313</v>
      </c>
      <c r="B1636">
        <v>270316000</v>
      </c>
      <c r="C1636">
        <v>2</v>
      </c>
    </row>
    <row r="1637" spans="1:3" ht="15.75" customHeight="1" x14ac:dyDescent="0.15">
      <c r="A1637">
        <v>313</v>
      </c>
      <c r="B1637">
        <v>270328000</v>
      </c>
      <c r="C1637">
        <v>3</v>
      </c>
    </row>
    <row r="1638" spans="1:3" ht="15.75" customHeight="1" x14ac:dyDescent="0.15">
      <c r="A1638">
        <v>313</v>
      </c>
      <c r="B1638">
        <v>270330000</v>
      </c>
      <c r="C1638">
        <v>1</v>
      </c>
    </row>
    <row r="1639" spans="1:3" ht="15.75" customHeight="1" x14ac:dyDescent="0.15">
      <c r="A1639">
        <v>313</v>
      </c>
      <c r="B1639">
        <v>270403000</v>
      </c>
      <c r="C1639">
        <v>1</v>
      </c>
    </row>
    <row r="1640" spans="1:3" ht="15.75" customHeight="1" x14ac:dyDescent="0.15">
      <c r="A1640">
        <v>313</v>
      </c>
      <c r="B1640">
        <v>270412000</v>
      </c>
      <c r="C1640">
        <v>1</v>
      </c>
    </row>
    <row r="1641" spans="1:3" ht="15.75" customHeight="1" x14ac:dyDescent="0.15">
      <c r="A1641">
        <v>313</v>
      </c>
      <c r="B1641">
        <v>270413000</v>
      </c>
      <c r="C1641">
        <v>1</v>
      </c>
    </row>
    <row r="1642" spans="1:3" ht="15.75" customHeight="1" x14ac:dyDescent="0.15">
      <c r="A1642">
        <v>313</v>
      </c>
      <c r="B1642">
        <v>270710000</v>
      </c>
      <c r="C1642">
        <v>4</v>
      </c>
    </row>
    <row r="1643" spans="1:3" ht="15.75" customHeight="1" x14ac:dyDescent="0.15">
      <c r="A1643">
        <v>313</v>
      </c>
      <c r="B1643">
        <v>270801000</v>
      </c>
      <c r="C1643">
        <v>1</v>
      </c>
    </row>
    <row r="1644" spans="1:3" ht="15.75" customHeight="1" x14ac:dyDescent="0.15">
      <c r="A1644">
        <v>313</v>
      </c>
      <c r="B1644">
        <v>270803000</v>
      </c>
      <c r="C1644">
        <v>1</v>
      </c>
    </row>
    <row r="1645" spans="1:3" ht="15.75" customHeight="1" x14ac:dyDescent="0.15">
      <c r="A1645">
        <v>313</v>
      </c>
      <c r="B1645">
        <v>270810000</v>
      </c>
      <c r="C1645">
        <v>2</v>
      </c>
    </row>
    <row r="1646" spans="1:3" ht="15.75" customHeight="1" x14ac:dyDescent="0.15">
      <c r="A1646">
        <v>313</v>
      </c>
      <c r="B1646">
        <v>270903000</v>
      </c>
      <c r="C1646">
        <v>1</v>
      </c>
    </row>
    <row r="1647" spans="1:3" ht="15.75" customHeight="1" x14ac:dyDescent="0.15">
      <c r="A1647">
        <v>313</v>
      </c>
      <c r="B1647">
        <v>270906000</v>
      </c>
      <c r="C1647">
        <v>1</v>
      </c>
    </row>
    <row r="1648" spans="1:3" ht="15.75" customHeight="1" x14ac:dyDescent="0.15">
      <c r="A1648">
        <v>313</v>
      </c>
      <c r="B1648">
        <v>270910000</v>
      </c>
      <c r="C1648">
        <v>1</v>
      </c>
    </row>
    <row r="1649" spans="1:3" ht="15.75" customHeight="1" x14ac:dyDescent="0.15">
      <c r="A1649">
        <v>313</v>
      </c>
      <c r="B1649">
        <v>270926000</v>
      </c>
      <c r="C1649">
        <v>6</v>
      </c>
    </row>
    <row r="1650" spans="1:3" ht="15.75" customHeight="1" x14ac:dyDescent="0.15">
      <c r="A1650">
        <v>313</v>
      </c>
      <c r="B1650">
        <v>271005000</v>
      </c>
      <c r="C1650">
        <v>1</v>
      </c>
    </row>
    <row r="1651" spans="1:3" ht="15.75" customHeight="1" x14ac:dyDescent="0.15">
      <c r="A1651">
        <v>313</v>
      </c>
      <c r="B1651">
        <v>271006000</v>
      </c>
      <c r="C1651">
        <v>2</v>
      </c>
    </row>
    <row r="1652" spans="1:3" ht="15.75" customHeight="1" x14ac:dyDescent="0.15">
      <c r="A1652">
        <v>313</v>
      </c>
      <c r="B1652">
        <v>271008000</v>
      </c>
      <c r="C1652">
        <v>1</v>
      </c>
    </row>
    <row r="1653" spans="1:3" ht="15.75" customHeight="1" x14ac:dyDescent="0.15">
      <c r="A1653">
        <v>313</v>
      </c>
      <c r="B1653">
        <v>271010000</v>
      </c>
      <c r="C1653">
        <v>1</v>
      </c>
    </row>
    <row r="1654" spans="1:3" ht="15.75" customHeight="1" x14ac:dyDescent="0.15">
      <c r="A1654">
        <v>313</v>
      </c>
      <c r="B1654">
        <v>271011000</v>
      </c>
      <c r="C1654">
        <v>2</v>
      </c>
    </row>
    <row r="1655" spans="1:3" ht="15.75" customHeight="1" x14ac:dyDescent="0.15">
      <c r="A1655">
        <v>313</v>
      </c>
      <c r="B1655">
        <v>271020000</v>
      </c>
      <c r="C1655">
        <v>2</v>
      </c>
    </row>
    <row r="1656" spans="1:3" ht="15.75" customHeight="1" x14ac:dyDescent="0.15">
      <c r="A1656">
        <v>313</v>
      </c>
      <c r="B1656">
        <v>271021000</v>
      </c>
      <c r="C1656">
        <v>2</v>
      </c>
    </row>
    <row r="1657" spans="1:3" ht="15.75" customHeight="1" x14ac:dyDescent="0.15">
      <c r="A1657">
        <v>313</v>
      </c>
      <c r="B1657">
        <v>271059000</v>
      </c>
      <c r="C1657">
        <v>4</v>
      </c>
    </row>
    <row r="1658" spans="1:3" ht="15.75" customHeight="1" x14ac:dyDescent="0.15">
      <c r="A1658">
        <v>313</v>
      </c>
      <c r="B1658">
        <v>271074000</v>
      </c>
      <c r="C1658">
        <v>1</v>
      </c>
    </row>
    <row r="1659" spans="1:3" ht="15.75" customHeight="1" x14ac:dyDescent="0.15">
      <c r="A1659">
        <v>313</v>
      </c>
      <c r="B1659">
        <v>271206000</v>
      </c>
      <c r="C1659">
        <v>2</v>
      </c>
    </row>
    <row r="1660" spans="1:3" ht="15.75" customHeight="1" x14ac:dyDescent="0.15">
      <c r="A1660">
        <v>313</v>
      </c>
      <c r="B1660">
        <v>271207000</v>
      </c>
      <c r="C1660">
        <v>3</v>
      </c>
    </row>
    <row r="1661" spans="1:3" ht="15.75" customHeight="1" x14ac:dyDescent="0.15">
      <c r="A1661">
        <v>313</v>
      </c>
      <c r="B1661">
        <v>271214000</v>
      </c>
      <c r="C1661">
        <v>2</v>
      </c>
    </row>
    <row r="1662" spans="1:3" ht="15.75" customHeight="1" x14ac:dyDescent="0.15">
      <c r="A1662">
        <v>313</v>
      </c>
      <c r="B1662">
        <v>271215000</v>
      </c>
      <c r="C1662">
        <v>1</v>
      </c>
    </row>
    <row r="1663" spans="1:3" ht="15.75" customHeight="1" x14ac:dyDescent="0.15">
      <c r="A1663">
        <v>313</v>
      </c>
      <c r="B1663">
        <v>271221000</v>
      </c>
      <c r="C1663">
        <v>1</v>
      </c>
    </row>
    <row r="1664" spans="1:3" ht="15.75" customHeight="1" x14ac:dyDescent="0.15">
      <c r="A1664">
        <v>313</v>
      </c>
      <c r="B1664">
        <v>271259000</v>
      </c>
      <c r="C1664">
        <v>1</v>
      </c>
    </row>
    <row r="1665" spans="1:3" ht="15.75" customHeight="1" x14ac:dyDescent="0.15">
      <c r="A1665">
        <v>315</v>
      </c>
      <c r="B1665">
        <v>270217000</v>
      </c>
      <c r="C1665">
        <v>1</v>
      </c>
    </row>
    <row r="1666" spans="1:3" ht="15.75" customHeight="1" x14ac:dyDescent="0.15">
      <c r="A1666">
        <v>315</v>
      </c>
      <c r="B1666">
        <v>270316000</v>
      </c>
      <c r="C1666">
        <v>5</v>
      </c>
    </row>
    <row r="1667" spans="1:3" ht="15.75" customHeight="1" x14ac:dyDescent="0.15">
      <c r="A1667">
        <v>315</v>
      </c>
      <c r="B1667">
        <v>270328000</v>
      </c>
      <c r="C1667">
        <v>1</v>
      </c>
    </row>
    <row r="1668" spans="1:3" ht="15.75" customHeight="1" x14ac:dyDescent="0.15">
      <c r="A1668">
        <v>315</v>
      </c>
      <c r="B1668">
        <v>270412000</v>
      </c>
      <c r="C1668">
        <v>4</v>
      </c>
    </row>
    <row r="1669" spans="1:3" ht="15.75" customHeight="1" x14ac:dyDescent="0.15">
      <c r="A1669">
        <v>315</v>
      </c>
      <c r="B1669">
        <v>270710000</v>
      </c>
      <c r="C1669">
        <v>2</v>
      </c>
    </row>
    <row r="1670" spans="1:3" ht="15.75" customHeight="1" x14ac:dyDescent="0.15">
      <c r="A1670">
        <v>315</v>
      </c>
      <c r="B1670">
        <v>270803000</v>
      </c>
      <c r="C1670">
        <v>2</v>
      </c>
    </row>
    <row r="1671" spans="1:3" ht="15.75" customHeight="1" x14ac:dyDescent="0.15">
      <c r="A1671">
        <v>315</v>
      </c>
      <c r="B1671">
        <v>270805000</v>
      </c>
      <c r="C1671">
        <v>1</v>
      </c>
    </row>
    <row r="1672" spans="1:3" ht="15.75" customHeight="1" x14ac:dyDescent="0.15">
      <c r="A1672">
        <v>315</v>
      </c>
      <c r="B1672">
        <v>270810000</v>
      </c>
      <c r="C1672">
        <v>2</v>
      </c>
    </row>
    <row r="1673" spans="1:3" ht="15.75" customHeight="1" x14ac:dyDescent="0.15">
      <c r="A1673">
        <v>315</v>
      </c>
      <c r="B1673">
        <v>270906000</v>
      </c>
      <c r="C1673">
        <v>1</v>
      </c>
    </row>
    <row r="1674" spans="1:3" ht="15.75" customHeight="1" x14ac:dyDescent="0.15">
      <c r="A1674">
        <v>315</v>
      </c>
      <c r="B1674">
        <v>270910000</v>
      </c>
      <c r="C1674">
        <v>1</v>
      </c>
    </row>
    <row r="1675" spans="1:3" ht="15.75" customHeight="1" x14ac:dyDescent="0.15">
      <c r="A1675">
        <v>315</v>
      </c>
      <c r="B1675">
        <v>270926000</v>
      </c>
      <c r="C1675">
        <v>3</v>
      </c>
    </row>
    <row r="1676" spans="1:3" ht="15.75" customHeight="1" x14ac:dyDescent="0.15">
      <c r="A1676">
        <v>315</v>
      </c>
      <c r="B1676">
        <v>271002000</v>
      </c>
      <c r="C1676">
        <v>1</v>
      </c>
    </row>
    <row r="1677" spans="1:3" ht="15.75" customHeight="1" x14ac:dyDescent="0.15">
      <c r="A1677">
        <v>315</v>
      </c>
      <c r="B1677">
        <v>271008000</v>
      </c>
      <c r="C1677">
        <v>1</v>
      </c>
    </row>
    <row r="1678" spans="1:3" ht="15.75" customHeight="1" x14ac:dyDescent="0.15">
      <c r="A1678">
        <v>315</v>
      </c>
      <c r="B1678">
        <v>271010000</v>
      </c>
      <c r="C1678">
        <v>1</v>
      </c>
    </row>
    <row r="1679" spans="1:3" ht="15.75" customHeight="1" x14ac:dyDescent="0.15">
      <c r="A1679">
        <v>315</v>
      </c>
      <c r="B1679">
        <v>271011000</v>
      </c>
      <c r="C1679">
        <v>2</v>
      </c>
    </row>
    <row r="1680" spans="1:3" ht="15.75" customHeight="1" x14ac:dyDescent="0.15">
      <c r="A1680">
        <v>315</v>
      </c>
      <c r="B1680">
        <v>271020000</v>
      </c>
      <c r="C1680">
        <v>1</v>
      </c>
    </row>
    <row r="1681" spans="1:3" ht="15.75" customHeight="1" x14ac:dyDescent="0.15">
      <c r="A1681">
        <v>315</v>
      </c>
      <c r="B1681">
        <v>271021000</v>
      </c>
      <c r="C1681">
        <v>1</v>
      </c>
    </row>
    <row r="1682" spans="1:3" ht="15.75" customHeight="1" x14ac:dyDescent="0.15">
      <c r="A1682">
        <v>315</v>
      </c>
      <c r="B1682">
        <v>271074000</v>
      </c>
      <c r="C1682">
        <v>3</v>
      </c>
    </row>
    <row r="1683" spans="1:3" ht="15.75" customHeight="1" x14ac:dyDescent="0.15">
      <c r="A1683">
        <v>315</v>
      </c>
      <c r="B1683">
        <v>271206000</v>
      </c>
      <c r="C1683">
        <v>3</v>
      </c>
    </row>
    <row r="1684" spans="1:3" ht="15.75" customHeight="1" x14ac:dyDescent="0.15">
      <c r="A1684">
        <v>315</v>
      </c>
      <c r="B1684">
        <v>271207000</v>
      </c>
      <c r="C1684">
        <v>2</v>
      </c>
    </row>
    <row r="1685" spans="1:3" ht="15.75" customHeight="1" x14ac:dyDescent="0.15">
      <c r="A1685">
        <v>315</v>
      </c>
      <c r="B1685">
        <v>271214000</v>
      </c>
      <c r="C1685">
        <v>4</v>
      </c>
    </row>
    <row r="1686" spans="1:3" ht="15.75" customHeight="1" x14ac:dyDescent="0.15">
      <c r="A1686">
        <v>315</v>
      </c>
      <c r="B1686">
        <v>271215000</v>
      </c>
      <c r="C1686">
        <v>1</v>
      </c>
    </row>
    <row r="1687" spans="1:3" ht="15.75" customHeight="1" x14ac:dyDescent="0.15">
      <c r="A1687">
        <v>315</v>
      </c>
      <c r="B1687">
        <v>271221000</v>
      </c>
      <c r="C1687">
        <v>4</v>
      </c>
    </row>
    <row r="1688" spans="1:3" ht="15.75" customHeight="1" x14ac:dyDescent="0.15">
      <c r="A1688">
        <v>315</v>
      </c>
      <c r="B1688">
        <v>271503000</v>
      </c>
      <c r="C1688">
        <v>2</v>
      </c>
    </row>
    <row r="1689" spans="1:3" ht="15.75" customHeight="1" x14ac:dyDescent="0.15">
      <c r="A1689">
        <v>315</v>
      </c>
      <c r="B1689">
        <v>271604000</v>
      </c>
      <c r="C1689">
        <v>2</v>
      </c>
    </row>
    <row r="1690" spans="1:3" ht="15.75" customHeight="1" x14ac:dyDescent="0.15">
      <c r="A1690">
        <v>315</v>
      </c>
      <c r="B1690">
        <v>271612000</v>
      </c>
      <c r="C1690">
        <v>2</v>
      </c>
    </row>
    <row r="1691" spans="1:3" ht="15.75" customHeight="1" x14ac:dyDescent="0.15">
      <c r="A1691">
        <v>316</v>
      </c>
      <c r="B1691">
        <v>270114000</v>
      </c>
      <c r="C1691">
        <v>2</v>
      </c>
    </row>
    <row r="1692" spans="1:3" ht="15.75" customHeight="1" x14ac:dyDescent="0.15">
      <c r="A1692">
        <v>316</v>
      </c>
      <c r="B1692">
        <v>270122000</v>
      </c>
      <c r="C1692">
        <v>2</v>
      </c>
    </row>
    <row r="1693" spans="1:3" ht="15.75" customHeight="1" x14ac:dyDescent="0.15">
      <c r="A1693">
        <v>316</v>
      </c>
      <c r="B1693">
        <v>270140000</v>
      </c>
      <c r="C1693">
        <v>2</v>
      </c>
    </row>
    <row r="1694" spans="1:3" ht="15.75" customHeight="1" x14ac:dyDescent="0.15">
      <c r="A1694">
        <v>316</v>
      </c>
      <c r="B1694">
        <v>270168000</v>
      </c>
      <c r="C1694">
        <v>1</v>
      </c>
    </row>
    <row r="1695" spans="1:3" ht="15.75" customHeight="1" x14ac:dyDescent="0.15">
      <c r="A1695">
        <v>316</v>
      </c>
      <c r="B1695">
        <v>270172000</v>
      </c>
      <c r="C1695">
        <v>1</v>
      </c>
    </row>
    <row r="1696" spans="1:3" ht="15.75" customHeight="1" x14ac:dyDescent="0.15">
      <c r="A1696">
        <v>316</v>
      </c>
      <c r="B1696">
        <v>270204000</v>
      </c>
      <c r="C1696">
        <v>1</v>
      </c>
    </row>
    <row r="1697" spans="1:3" ht="15.75" customHeight="1" x14ac:dyDescent="0.15">
      <c r="A1697">
        <v>316</v>
      </c>
      <c r="B1697">
        <v>270217000</v>
      </c>
      <c r="C1697">
        <v>1</v>
      </c>
    </row>
    <row r="1698" spans="1:3" ht="15.75" customHeight="1" x14ac:dyDescent="0.15">
      <c r="A1698">
        <v>316</v>
      </c>
      <c r="B1698">
        <v>270271000</v>
      </c>
      <c r="C1698">
        <v>3</v>
      </c>
    </row>
    <row r="1699" spans="1:3" ht="15.75" customHeight="1" x14ac:dyDescent="0.15">
      <c r="A1699">
        <v>316</v>
      </c>
      <c r="B1699">
        <v>270275000</v>
      </c>
      <c r="C1699">
        <v>2</v>
      </c>
    </row>
    <row r="1700" spans="1:3" ht="15.75" customHeight="1" x14ac:dyDescent="0.15">
      <c r="A1700">
        <v>316</v>
      </c>
      <c r="B1700">
        <v>270282000</v>
      </c>
      <c r="C1700">
        <v>1</v>
      </c>
    </row>
    <row r="1701" spans="1:3" ht="15.75" customHeight="1" x14ac:dyDescent="0.15">
      <c r="A1701">
        <v>316</v>
      </c>
      <c r="B1701">
        <v>270285000</v>
      </c>
      <c r="C1701">
        <v>1</v>
      </c>
    </row>
    <row r="1702" spans="1:3" ht="15.75" customHeight="1" x14ac:dyDescent="0.15">
      <c r="A1702">
        <v>316</v>
      </c>
      <c r="B1702">
        <v>270286000</v>
      </c>
      <c r="C1702">
        <v>4</v>
      </c>
    </row>
    <row r="1703" spans="1:3" ht="15.75" customHeight="1" x14ac:dyDescent="0.15">
      <c r="A1703">
        <v>316</v>
      </c>
      <c r="B1703">
        <v>270303000</v>
      </c>
      <c r="C1703">
        <v>1</v>
      </c>
    </row>
    <row r="1704" spans="1:3" ht="15.75" customHeight="1" x14ac:dyDescent="0.15">
      <c r="A1704">
        <v>316</v>
      </c>
      <c r="B1704">
        <v>270304000</v>
      </c>
      <c r="C1704">
        <v>1</v>
      </c>
    </row>
    <row r="1705" spans="1:3" ht="15.75" customHeight="1" x14ac:dyDescent="0.15">
      <c r="A1705">
        <v>316</v>
      </c>
      <c r="B1705">
        <v>270310000</v>
      </c>
      <c r="C1705">
        <v>1</v>
      </c>
    </row>
    <row r="1706" spans="1:3" ht="15.75" customHeight="1" x14ac:dyDescent="0.15">
      <c r="A1706">
        <v>316</v>
      </c>
      <c r="B1706">
        <v>270316000</v>
      </c>
      <c r="C1706">
        <v>4</v>
      </c>
    </row>
    <row r="1707" spans="1:3" ht="15.75" customHeight="1" x14ac:dyDescent="0.15">
      <c r="A1707">
        <v>316</v>
      </c>
      <c r="B1707">
        <v>270328000</v>
      </c>
      <c r="C1707">
        <v>4</v>
      </c>
    </row>
    <row r="1708" spans="1:3" ht="15.75" customHeight="1" x14ac:dyDescent="0.15">
      <c r="A1708">
        <v>316</v>
      </c>
      <c r="B1708">
        <v>270330000</v>
      </c>
      <c r="C1708">
        <v>1</v>
      </c>
    </row>
    <row r="1709" spans="1:3" ht="15.75" customHeight="1" x14ac:dyDescent="0.15">
      <c r="A1709">
        <v>316</v>
      </c>
      <c r="B1709">
        <v>270389000</v>
      </c>
      <c r="C1709">
        <v>2</v>
      </c>
    </row>
    <row r="1710" spans="1:3" ht="15.75" customHeight="1" x14ac:dyDescent="0.15">
      <c r="A1710">
        <v>316</v>
      </c>
      <c r="B1710">
        <v>270405000</v>
      </c>
      <c r="C1710">
        <v>1</v>
      </c>
    </row>
    <row r="1711" spans="1:3" ht="15.75" customHeight="1" x14ac:dyDescent="0.15">
      <c r="A1711">
        <v>316</v>
      </c>
      <c r="B1711">
        <v>270408000</v>
      </c>
      <c r="C1711">
        <v>1</v>
      </c>
    </row>
    <row r="1712" spans="1:3" ht="15.75" customHeight="1" x14ac:dyDescent="0.15">
      <c r="A1712">
        <v>316</v>
      </c>
      <c r="B1712">
        <v>270411000</v>
      </c>
      <c r="C1712">
        <v>8</v>
      </c>
    </row>
    <row r="1713" spans="1:3" ht="15.75" customHeight="1" x14ac:dyDescent="0.15">
      <c r="A1713">
        <v>316</v>
      </c>
      <c r="B1713">
        <v>270710000</v>
      </c>
      <c r="C1713">
        <v>5</v>
      </c>
    </row>
    <row r="1714" spans="1:3" ht="15.75" customHeight="1" x14ac:dyDescent="0.15">
      <c r="A1714">
        <v>316</v>
      </c>
      <c r="B1714">
        <v>270805000</v>
      </c>
      <c r="C1714">
        <v>3</v>
      </c>
    </row>
    <row r="1715" spans="1:3" ht="15.75" customHeight="1" x14ac:dyDescent="0.15">
      <c r="A1715">
        <v>316</v>
      </c>
      <c r="B1715">
        <v>270810000</v>
      </c>
      <c r="C1715">
        <v>2</v>
      </c>
    </row>
    <row r="1716" spans="1:3" ht="15.75" customHeight="1" x14ac:dyDescent="0.15">
      <c r="A1716">
        <v>316</v>
      </c>
      <c r="B1716">
        <v>270903000</v>
      </c>
      <c r="C1716">
        <v>1</v>
      </c>
    </row>
    <row r="1717" spans="1:3" ht="15.75" customHeight="1" x14ac:dyDescent="0.15">
      <c r="A1717">
        <v>316</v>
      </c>
      <c r="B1717">
        <v>270910000</v>
      </c>
      <c r="C1717">
        <v>2</v>
      </c>
    </row>
    <row r="1718" spans="1:3" ht="15.75" customHeight="1" x14ac:dyDescent="0.15">
      <c r="A1718">
        <v>316</v>
      </c>
      <c r="B1718">
        <v>271001000</v>
      </c>
      <c r="C1718">
        <v>1</v>
      </c>
    </row>
    <row r="1719" spans="1:3" ht="15.75" customHeight="1" x14ac:dyDescent="0.15">
      <c r="A1719">
        <v>316</v>
      </c>
      <c r="B1719">
        <v>271020000</v>
      </c>
      <c r="C1719">
        <v>3</v>
      </c>
    </row>
    <row r="1720" spans="1:3" ht="15.75" customHeight="1" x14ac:dyDescent="0.15">
      <c r="A1720">
        <v>316</v>
      </c>
      <c r="B1720">
        <v>271074000</v>
      </c>
      <c r="C1720">
        <v>2</v>
      </c>
    </row>
    <row r="1721" spans="1:3" ht="15.75" customHeight="1" x14ac:dyDescent="0.15">
      <c r="A1721">
        <v>316</v>
      </c>
      <c r="B1721">
        <v>271207000</v>
      </c>
      <c r="C1721">
        <v>11</v>
      </c>
    </row>
    <row r="1722" spans="1:3" ht="15.75" customHeight="1" x14ac:dyDescent="0.15">
      <c r="A1722">
        <v>316</v>
      </c>
      <c r="B1722">
        <v>271212000</v>
      </c>
      <c r="C1722">
        <v>6</v>
      </c>
    </row>
    <row r="1723" spans="1:3" ht="15.75" customHeight="1" x14ac:dyDescent="0.15">
      <c r="A1723">
        <v>316</v>
      </c>
      <c r="B1723">
        <v>271213000</v>
      </c>
      <c r="C1723">
        <v>3</v>
      </c>
    </row>
    <row r="1724" spans="1:3" ht="15.75" customHeight="1" x14ac:dyDescent="0.15">
      <c r="A1724">
        <v>316</v>
      </c>
      <c r="B1724">
        <v>271215000</v>
      </c>
      <c r="C1724">
        <v>1</v>
      </c>
    </row>
    <row r="1725" spans="1:3" ht="15.75" customHeight="1" x14ac:dyDescent="0.15">
      <c r="A1725">
        <v>316</v>
      </c>
      <c r="B1725">
        <v>271216000</v>
      </c>
      <c r="C1725">
        <v>2</v>
      </c>
    </row>
    <row r="1726" spans="1:3" ht="15.75" customHeight="1" x14ac:dyDescent="0.15">
      <c r="A1726">
        <v>316</v>
      </c>
      <c r="B1726">
        <v>271221000</v>
      </c>
      <c r="C1726">
        <v>1</v>
      </c>
    </row>
    <row r="1727" spans="1:3" ht="15.75" customHeight="1" x14ac:dyDescent="0.15">
      <c r="A1727">
        <v>316</v>
      </c>
      <c r="B1727">
        <v>271259000</v>
      </c>
      <c r="C1727">
        <v>2</v>
      </c>
    </row>
    <row r="1728" spans="1:3" ht="15.75" customHeight="1" x14ac:dyDescent="0.15">
      <c r="A1728">
        <v>316</v>
      </c>
      <c r="B1728">
        <v>271260000</v>
      </c>
      <c r="C1728">
        <v>2</v>
      </c>
    </row>
    <row r="1729" spans="1:3" ht="15.75" customHeight="1" x14ac:dyDescent="0.15">
      <c r="A1729">
        <v>316</v>
      </c>
      <c r="B1729">
        <v>271301000</v>
      </c>
      <c r="C1729">
        <v>1</v>
      </c>
    </row>
    <row r="1730" spans="1:3" ht="15.75" customHeight="1" x14ac:dyDescent="0.15">
      <c r="A1730">
        <v>316</v>
      </c>
      <c r="B1730">
        <v>271302000</v>
      </c>
      <c r="C1730">
        <v>1</v>
      </c>
    </row>
    <row r="1731" spans="1:3" ht="15.75" customHeight="1" x14ac:dyDescent="0.15">
      <c r="A1731">
        <v>316</v>
      </c>
      <c r="B1731">
        <v>271306000</v>
      </c>
      <c r="C1731">
        <v>4</v>
      </c>
    </row>
    <row r="1732" spans="1:3" ht="15.75" customHeight="1" x14ac:dyDescent="0.15">
      <c r="A1732">
        <v>316</v>
      </c>
      <c r="B1732">
        <v>271453000</v>
      </c>
      <c r="C1732">
        <v>2</v>
      </c>
    </row>
    <row r="1733" spans="1:3" ht="15.75" customHeight="1" x14ac:dyDescent="0.15">
      <c r="A1733">
        <v>316</v>
      </c>
      <c r="B1733">
        <v>271455000</v>
      </c>
      <c r="C1733">
        <v>2</v>
      </c>
    </row>
    <row r="1734" spans="1:3" ht="15.75" customHeight="1" x14ac:dyDescent="0.15">
      <c r="A1734">
        <v>316</v>
      </c>
      <c r="B1734">
        <v>271503000</v>
      </c>
      <c r="C1734">
        <v>5</v>
      </c>
    </row>
    <row r="1735" spans="1:3" ht="15.75" customHeight="1" x14ac:dyDescent="0.15">
      <c r="A1735">
        <v>316</v>
      </c>
      <c r="B1735">
        <v>271513000</v>
      </c>
      <c r="C1735">
        <v>1</v>
      </c>
    </row>
    <row r="1736" spans="1:3" ht="15.75" customHeight="1" x14ac:dyDescent="0.15">
      <c r="A1736">
        <v>317</v>
      </c>
      <c r="B1736">
        <v>270122000</v>
      </c>
      <c r="C1736">
        <v>1</v>
      </c>
    </row>
    <row r="1737" spans="1:3" ht="15.75" customHeight="1" x14ac:dyDescent="0.15">
      <c r="A1737">
        <v>317</v>
      </c>
      <c r="B1737">
        <v>270140000</v>
      </c>
      <c r="C1737">
        <v>6</v>
      </c>
    </row>
    <row r="1738" spans="1:3" ht="15.75" customHeight="1" x14ac:dyDescent="0.15">
      <c r="A1738">
        <v>317</v>
      </c>
      <c r="B1738">
        <v>270163000</v>
      </c>
      <c r="C1738">
        <v>1</v>
      </c>
    </row>
    <row r="1739" spans="1:3" ht="15.75" customHeight="1" x14ac:dyDescent="0.15">
      <c r="A1739">
        <v>317</v>
      </c>
      <c r="B1739">
        <v>270167000</v>
      </c>
      <c r="C1739">
        <v>1</v>
      </c>
    </row>
    <row r="1740" spans="1:3" ht="15.75" customHeight="1" x14ac:dyDescent="0.15">
      <c r="A1740">
        <v>317</v>
      </c>
      <c r="B1740">
        <v>270168000</v>
      </c>
      <c r="C1740">
        <v>2</v>
      </c>
    </row>
    <row r="1741" spans="1:3" ht="15.75" customHeight="1" x14ac:dyDescent="0.15">
      <c r="A1741">
        <v>317</v>
      </c>
      <c r="B1741">
        <v>270172000</v>
      </c>
      <c r="C1741">
        <v>2</v>
      </c>
    </row>
    <row r="1742" spans="1:3" ht="15.75" customHeight="1" x14ac:dyDescent="0.15">
      <c r="A1742">
        <v>317</v>
      </c>
      <c r="B1742">
        <v>270204000</v>
      </c>
      <c r="C1742">
        <v>2</v>
      </c>
    </row>
    <row r="1743" spans="1:3" ht="15.75" customHeight="1" x14ac:dyDescent="0.15">
      <c r="A1743">
        <v>317</v>
      </c>
      <c r="B1743">
        <v>270217000</v>
      </c>
      <c r="C1743">
        <v>2</v>
      </c>
    </row>
    <row r="1744" spans="1:3" ht="15.75" customHeight="1" x14ac:dyDescent="0.15">
      <c r="A1744">
        <v>317</v>
      </c>
      <c r="B1744">
        <v>270271000</v>
      </c>
      <c r="C1744">
        <v>3</v>
      </c>
    </row>
    <row r="1745" spans="1:3" ht="15.75" customHeight="1" x14ac:dyDescent="0.15">
      <c r="A1745">
        <v>317</v>
      </c>
      <c r="B1745">
        <v>270274000</v>
      </c>
      <c r="C1745">
        <v>1</v>
      </c>
    </row>
    <row r="1746" spans="1:3" ht="15.75" customHeight="1" x14ac:dyDescent="0.15">
      <c r="A1746">
        <v>317</v>
      </c>
      <c r="B1746">
        <v>270277000</v>
      </c>
      <c r="C1746">
        <v>1</v>
      </c>
    </row>
    <row r="1747" spans="1:3" ht="15.75" customHeight="1" x14ac:dyDescent="0.15">
      <c r="A1747">
        <v>317</v>
      </c>
      <c r="B1747">
        <v>270281000</v>
      </c>
      <c r="C1747">
        <v>1</v>
      </c>
    </row>
    <row r="1748" spans="1:3" ht="15.75" customHeight="1" x14ac:dyDescent="0.15">
      <c r="A1748">
        <v>317</v>
      </c>
      <c r="B1748">
        <v>270285000</v>
      </c>
      <c r="C1748">
        <v>1</v>
      </c>
    </row>
    <row r="1749" spans="1:3" ht="15.75" customHeight="1" x14ac:dyDescent="0.15">
      <c r="A1749">
        <v>317</v>
      </c>
      <c r="B1749">
        <v>270286000</v>
      </c>
      <c r="C1749">
        <v>10</v>
      </c>
    </row>
    <row r="1750" spans="1:3" ht="15.75" customHeight="1" x14ac:dyDescent="0.15">
      <c r="A1750">
        <v>317</v>
      </c>
      <c r="B1750">
        <v>270287000</v>
      </c>
      <c r="C1750">
        <v>1</v>
      </c>
    </row>
    <row r="1751" spans="1:3" ht="15.75" customHeight="1" x14ac:dyDescent="0.15">
      <c r="A1751">
        <v>317</v>
      </c>
      <c r="B1751">
        <v>270303000</v>
      </c>
      <c r="C1751">
        <v>2</v>
      </c>
    </row>
    <row r="1752" spans="1:3" ht="15.75" customHeight="1" x14ac:dyDescent="0.15">
      <c r="A1752">
        <v>317</v>
      </c>
      <c r="B1752">
        <v>270304000</v>
      </c>
      <c r="C1752">
        <v>2</v>
      </c>
    </row>
    <row r="1753" spans="1:3" ht="15.75" customHeight="1" x14ac:dyDescent="0.15">
      <c r="A1753">
        <v>317</v>
      </c>
      <c r="B1753">
        <v>270310000</v>
      </c>
      <c r="C1753">
        <v>2</v>
      </c>
    </row>
    <row r="1754" spans="1:3" ht="15.75" customHeight="1" x14ac:dyDescent="0.15">
      <c r="A1754">
        <v>317</v>
      </c>
      <c r="B1754">
        <v>270316000</v>
      </c>
      <c r="C1754">
        <v>10</v>
      </c>
    </row>
    <row r="1755" spans="1:3" ht="15.75" customHeight="1" x14ac:dyDescent="0.15">
      <c r="A1755">
        <v>317</v>
      </c>
      <c r="B1755">
        <v>270328000</v>
      </c>
      <c r="C1755">
        <v>5</v>
      </c>
    </row>
    <row r="1756" spans="1:3" ht="15.75" customHeight="1" x14ac:dyDescent="0.15">
      <c r="A1756">
        <v>317</v>
      </c>
      <c r="B1756">
        <v>270330000</v>
      </c>
      <c r="C1756">
        <v>3</v>
      </c>
    </row>
    <row r="1757" spans="1:3" ht="15.75" customHeight="1" x14ac:dyDescent="0.15">
      <c r="A1757">
        <v>317</v>
      </c>
      <c r="B1757">
        <v>270359000</v>
      </c>
      <c r="C1757">
        <v>1</v>
      </c>
    </row>
    <row r="1758" spans="1:3" ht="15.75" customHeight="1" x14ac:dyDescent="0.15">
      <c r="A1758">
        <v>317</v>
      </c>
      <c r="B1758">
        <v>270389000</v>
      </c>
      <c r="C1758">
        <v>1</v>
      </c>
    </row>
    <row r="1759" spans="1:3" ht="15.75" customHeight="1" x14ac:dyDescent="0.15">
      <c r="A1759">
        <v>317</v>
      </c>
      <c r="B1759">
        <v>270405000</v>
      </c>
      <c r="C1759">
        <v>1</v>
      </c>
    </row>
    <row r="1760" spans="1:3" ht="15.75" customHeight="1" x14ac:dyDescent="0.15">
      <c r="A1760">
        <v>317</v>
      </c>
      <c r="B1760">
        <v>270408000</v>
      </c>
      <c r="C1760">
        <v>2</v>
      </c>
    </row>
    <row r="1761" spans="1:3" ht="15.75" customHeight="1" x14ac:dyDescent="0.15">
      <c r="A1761">
        <v>317</v>
      </c>
      <c r="B1761">
        <v>270412000</v>
      </c>
      <c r="C1761">
        <v>8</v>
      </c>
    </row>
    <row r="1762" spans="1:3" ht="15.75" customHeight="1" x14ac:dyDescent="0.15">
      <c r="A1762">
        <v>317</v>
      </c>
      <c r="B1762">
        <v>270710000</v>
      </c>
      <c r="C1762">
        <v>10</v>
      </c>
    </row>
    <row r="1763" spans="1:3" ht="15.75" customHeight="1" x14ac:dyDescent="0.15">
      <c r="A1763">
        <v>317</v>
      </c>
      <c r="B1763">
        <v>270716000</v>
      </c>
      <c r="C1763">
        <v>2</v>
      </c>
    </row>
    <row r="1764" spans="1:3" ht="15.75" customHeight="1" x14ac:dyDescent="0.15">
      <c r="A1764">
        <v>317</v>
      </c>
      <c r="B1764">
        <v>270801000</v>
      </c>
      <c r="C1764">
        <v>3</v>
      </c>
    </row>
    <row r="1765" spans="1:3" ht="15.75" customHeight="1" x14ac:dyDescent="0.15">
      <c r="A1765">
        <v>317</v>
      </c>
      <c r="B1765">
        <v>270803000</v>
      </c>
      <c r="C1765">
        <v>13</v>
      </c>
    </row>
    <row r="1766" spans="1:3" ht="15.75" customHeight="1" x14ac:dyDescent="0.15">
      <c r="A1766">
        <v>317</v>
      </c>
      <c r="B1766">
        <v>270805000</v>
      </c>
      <c r="C1766">
        <v>2</v>
      </c>
    </row>
    <row r="1767" spans="1:3" ht="15.75" customHeight="1" x14ac:dyDescent="0.15">
      <c r="A1767">
        <v>317</v>
      </c>
      <c r="B1767">
        <v>270810000</v>
      </c>
      <c r="C1767">
        <v>2</v>
      </c>
    </row>
    <row r="1768" spans="1:3" ht="15.75" customHeight="1" x14ac:dyDescent="0.15">
      <c r="A1768">
        <v>317</v>
      </c>
      <c r="B1768">
        <v>270904000</v>
      </c>
      <c r="C1768">
        <v>1</v>
      </c>
    </row>
    <row r="1769" spans="1:3" ht="15.75" customHeight="1" x14ac:dyDescent="0.15">
      <c r="A1769">
        <v>317</v>
      </c>
      <c r="B1769">
        <v>270905000</v>
      </c>
      <c r="C1769">
        <v>2</v>
      </c>
    </row>
    <row r="1770" spans="1:3" ht="15.75" customHeight="1" x14ac:dyDescent="0.15">
      <c r="A1770">
        <v>317</v>
      </c>
      <c r="B1770">
        <v>270906000</v>
      </c>
      <c r="C1770">
        <v>2</v>
      </c>
    </row>
    <row r="1771" spans="1:3" ht="15.75" customHeight="1" x14ac:dyDescent="0.15">
      <c r="A1771">
        <v>317</v>
      </c>
      <c r="B1771">
        <v>270926000</v>
      </c>
      <c r="C1771">
        <v>10</v>
      </c>
    </row>
    <row r="1772" spans="1:3" ht="15.75" customHeight="1" x14ac:dyDescent="0.15">
      <c r="A1772">
        <v>317</v>
      </c>
      <c r="B1772">
        <v>271002000</v>
      </c>
      <c r="C1772">
        <v>1</v>
      </c>
    </row>
    <row r="1773" spans="1:3" ht="15.75" customHeight="1" x14ac:dyDescent="0.15">
      <c r="A1773">
        <v>317</v>
      </c>
      <c r="B1773">
        <v>271005000</v>
      </c>
      <c r="C1773">
        <v>3</v>
      </c>
    </row>
    <row r="1774" spans="1:3" ht="15.75" customHeight="1" x14ac:dyDescent="0.15">
      <c r="A1774">
        <v>317</v>
      </c>
      <c r="B1774">
        <v>271006000</v>
      </c>
      <c r="C1774">
        <v>3</v>
      </c>
    </row>
    <row r="1775" spans="1:3" ht="15.75" customHeight="1" x14ac:dyDescent="0.15">
      <c r="A1775">
        <v>317</v>
      </c>
      <c r="B1775">
        <v>271008000</v>
      </c>
      <c r="C1775">
        <v>4</v>
      </c>
    </row>
    <row r="1776" spans="1:3" ht="15.75" customHeight="1" x14ac:dyDescent="0.15">
      <c r="A1776">
        <v>317</v>
      </c>
      <c r="B1776">
        <v>271010000</v>
      </c>
      <c r="C1776">
        <v>4</v>
      </c>
    </row>
    <row r="1777" spans="1:3" ht="15.75" customHeight="1" x14ac:dyDescent="0.15">
      <c r="A1777">
        <v>317</v>
      </c>
      <c r="B1777">
        <v>271011000</v>
      </c>
      <c r="C1777">
        <v>2</v>
      </c>
    </row>
    <row r="1778" spans="1:3" ht="15.75" customHeight="1" x14ac:dyDescent="0.15">
      <c r="A1778">
        <v>317</v>
      </c>
      <c r="B1778">
        <v>271020000</v>
      </c>
      <c r="C1778">
        <v>5</v>
      </c>
    </row>
    <row r="1779" spans="1:3" ht="15.75" customHeight="1" x14ac:dyDescent="0.15">
      <c r="A1779">
        <v>317</v>
      </c>
      <c r="B1779">
        <v>271021000</v>
      </c>
      <c r="C1779">
        <v>4</v>
      </c>
    </row>
    <row r="1780" spans="1:3" ht="15.75" customHeight="1" x14ac:dyDescent="0.15">
      <c r="A1780">
        <v>317</v>
      </c>
      <c r="B1780">
        <v>271059000</v>
      </c>
      <c r="C1780">
        <v>10</v>
      </c>
    </row>
    <row r="1781" spans="1:3" ht="15.75" customHeight="1" x14ac:dyDescent="0.15">
      <c r="A1781">
        <v>317</v>
      </c>
      <c r="B1781">
        <v>271074000</v>
      </c>
      <c r="C1781">
        <v>4</v>
      </c>
    </row>
    <row r="1782" spans="1:3" ht="15.75" customHeight="1" x14ac:dyDescent="0.15">
      <c r="A1782">
        <v>317</v>
      </c>
      <c r="B1782">
        <v>271204000</v>
      </c>
      <c r="C1782">
        <v>3</v>
      </c>
    </row>
    <row r="1783" spans="1:3" ht="15.75" customHeight="1" x14ac:dyDescent="0.15">
      <c r="A1783">
        <v>317</v>
      </c>
      <c r="B1783">
        <v>271206000</v>
      </c>
      <c r="C1783">
        <v>4</v>
      </c>
    </row>
    <row r="1784" spans="1:3" ht="15.75" customHeight="1" x14ac:dyDescent="0.15">
      <c r="A1784">
        <v>317</v>
      </c>
      <c r="B1784">
        <v>271207000</v>
      </c>
      <c r="C1784">
        <v>8</v>
      </c>
    </row>
    <row r="1785" spans="1:3" ht="15.75" customHeight="1" x14ac:dyDescent="0.15">
      <c r="A1785">
        <v>317</v>
      </c>
      <c r="B1785">
        <v>271208000</v>
      </c>
      <c r="C1785">
        <v>1</v>
      </c>
    </row>
    <row r="1786" spans="1:3" ht="15.75" customHeight="1" x14ac:dyDescent="0.15">
      <c r="A1786">
        <v>317</v>
      </c>
      <c r="B1786">
        <v>271211000</v>
      </c>
      <c r="C1786">
        <v>2</v>
      </c>
    </row>
    <row r="1787" spans="1:3" ht="15.75" customHeight="1" x14ac:dyDescent="0.15">
      <c r="A1787">
        <v>317</v>
      </c>
      <c r="B1787">
        <v>271212000</v>
      </c>
      <c r="C1787">
        <v>5</v>
      </c>
    </row>
    <row r="1788" spans="1:3" ht="15.75" customHeight="1" x14ac:dyDescent="0.15">
      <c r="A1788">
        <v>317</v>
      </c>
      <c r="B1788">
        <v>271213000</v>
      </c>
      <c r="C1788">
        <v>3</v>
      </c>
    </row>
    <row r="1789" spans="1:3" ht="15.75" customHeight="1" x14ac:dyDescent="0.15">
      <c r="A1789">
        <v>317</v>
      </c>
      <c r="B1789">
        <v>271215000</v>
      </c>
      <c r="C1789">
        <v>4</v>
      </c>
    </row>
    <row r="1790" spans="1:3" ht="15.75" customHeight="1" x14ac:dyDescent="0.15">
      <c r="A1790">
        <v>317</v>
      </c>
      <c r="B1790">
        <v>271216000</v>
      </c>
      <c r="C1790">
        <v>3</v>
      </c>
    </row>
    <row r="1791" spans="1:3" ht="15.75" customHeight="1" x14ac:dyDescent="0.15">
      <c r="A1791">
        <v>317</v>
      </c>
      <c r="B1791">
        <v>271244000</v>
      </c>
      <c r="C1791">
        <v>2</v>
      </c>
    </row>
    <row r="1792" spans="1:3" ht="15.75" customHeight="1" x14ac:dyDescent="0.15">
      <c r="A1792">
        <v>317</v>
      </c>
      <c r="B1792">
        <v>271259000</v>
      </c>
      <c r="C1792">
        <v>1</v>
      </c>
    </row>
    <row r="1793" spans="1:3" ht="15.75" customHeight="1" x14ac:dyDescent="0.15">
      <c r="A1793">
        <v>317</v>
      </c>
      <c r="B1793">
        <v>271260000</v>
      </c>
      <c r="C1793">
        <v>1</v>
      </c>
    </row>
    <row r="1794" spans="1:3" ht="15.75" customHeight="1" x14ac:dyDescent="0.15">
      <c r="A1794">
        <v>317</v>
      </c>
      <c r="B1794">
        <v>271301000</v>
      </c>
      <c r="C1794">
        <v>1</v>
      </c>
    </row>
    <row r="1795" spans="1:3" ht="15.75" customHeight="1" x14ac:dyDescent="0.15">
      <c r="A1795">
        <v>317</v>
      </c>
      <c r="B1795">
        <v>271302000</v>
      </c>
      <c r="C1795">
        <v>1</v>
      </c>
    </row>
    <row r="1796" spans="1:3" ht="15.75" customHeight="1" x14ac:dyDescent="0.15">
      <c r="A1796">
        <v>317</v>
      </c>
      <c r="B1796">
        <v>271454000</v>
      </c>
      <c r="C1796">
        <v>4</v>
      </c>
    </row>
    <row r="1797" spans="1:3" ht="15.75" customHeight="1" x14ac:dyDescent="0.15">
      <c r="A1797">
        <v>317</v>
      </c>
      <c r="B1797">
        <v>271455000</v>
      </c>
      <c r="C1797">
        <v>3</v>
      </c>
    </row>
    <row r="1798" spans="1:3" ht="15.75" customHeight="1" x14ac:dyDescent="0.15">
      <c r="A1798">
        <v>317</v>
      </c>
      <c r="B1798">
        <v>271503000</v>
      </c>
      <c r="C1798">
        <v>3</v>
      </c>
    </row>
    <row r="1799" spans="1:3" ht="15.75" customHeight="1" x14ac:dyDescent="0.15">
      <c r="A1799">
        <v>317</v>
      </c>
      <c r="B1799">
        <v>271512000</v>
      </c>
      <c r="C1799">
        <v>4</v>
      </c>
    </row>
    <row r="1800" spans="1:3" ht="15.75" customHeight="1" x14ac:dyDescent="0.15">
      <c r="A1800">
        <v>317</v>
      </c>
      <c r="B1800">
        <v>271513000</v>
      </c>
      <c r="C1800">
        <v>2</v>
      </c>
    </row>
    <row r="1801" spans="1:3" ht="15.75" customHeight="1" x14ac:dyDescent="0.15">
      <c r="A1801">
        <v>317</v>
      </c>
      <c r="B1801">
        <v>271514000</v>
      </c>
      <c r="C1801">
        <v>1</v>
      </c>
    </row>
    <row r="1802" spans="1:3" ht="15.75" customHeight="1" x14ac:dyDescent="0.15">
      <c r="A1802">
        <v>317</v>
      </c>
      <c r="B1802">
        <v>271608000</v>
      </c>
      <c r="C1802">
        <v>1</v>
      </c>
    </row>
    <row r="1803" spans="1:3" ht="15.75" customHeight="1" x14ac:dyDescent="0.15">
      <c r="A1803">
        <v>317</v>
      </c>
      <c r="B1803">
        <v>271711000</v>
      </c>
      <c r="C1803">
        <v>1</v>
      </c>
    </row>
    <row r="1804" spans="1:3" ht="15.75" customHeight="1" x14ac:dyDescent="0.15">
      <c r="A1804">
        <v>322</v>
      </c>
      <c r="B1804">
        <v>270204000</v>
      </c>
      <c r="C1804">
        <v>1</v>
      </c>
    </row>
    <row r="1805" spans="1:3" ht="15.75" customHeight="1" x14ac:dyDescent="0.15">
      <c r="A1805">
        <v>322</v>
      </c>
      <c r="B1805">
        <v>270217000</v>
      </c>
      <c r="C1805">
        <v>1</v>
      </c>
    </row>
    <row r="1806" spans="1:3" ht="15.75" customHeight="1" x14ac:dyDescent="0.15">
      <c r="A1806">
        <v>322</v>
      </c>
      <c r="B1806">
        <v>270304000</v>
      </c>
      <c r="C1806">
        <v>2</v>
      </c>
    </row>
    <row r="1807" spans="1:3" ht="15.75" customHeight="1" x14ac:dyDescent="0.15">
      <c r="A1807">
        <v>322</v>
      </c>
      <c r="B1807">
        <v>270310000</v>
      </c>
      <c r="C1807">
        <v>1</v>
      </c>
    </row>
    <row r="1808" spans="1:3" ht="15.75" customHeight="1" x14ac:dyDescent="0.15">
      <c r="A1808">
        <v>322</v>
      </c>
      <c r="B1808">
        <v>270328000</v>
      </c>
      <c r="C1808">
        <v>4</v>
      </c>
    </row>
    <row r="1809" spans="1:3" ht="15.75" customHeight="1" x14ac:dyDescent="0.15">
      <c r="A1809">
        <v>322</v>
      </c>
      <c r="B1809">
        <v>270408000</v>
      </c>
      <c r="C1809">
        <v>1</v>
      </c>
    </row>
    <row r="1810" spans="1:3" ht="15.75" customHeight="1" x14ac:dyDescent="0.15">
      <c r="A1810">
        <v>322</v>
      </c>
      <c r="B1810">
        <v>270411000</v>
      </c>
      <c r="C1810">
        <v>4</v>
      </c>
    </row>
    <row r="1811" spans="1:3" ht="15.75" customHeight="1" x14ac:dyDescent="0.15">
      <c r="A1811">
        <v>322</v>
      </c>
      <c r="B1811">
        <v>270710000</v>
      </c>
      <c r="C1811">
        <v>3</v>
      </c>
    </row>
    <row r="1812" spans="1:3" ht="15.75" customHeight="1" x14ac:dyDescent="0.15">
      <c r="A1812">
        <v>322</v>
      </c>
      <c r="B1812">
        <v>270801000</v>
      </c>
      <c r="C1812">
        <v>1</v>
      </c>
    </row>
    <row r="1813" spans="1:3" ht="15.75" customHeight="1" x14ac:dyDescent="0.15">
      <c r="A1813">
        <v>322</v>
      </c>
      <c r="B1813">
        <v>270803000</v>
      </c>
      <c r="C1813">
        <v>2</v>
      </c>
    </row>
    <row r="1814" spans="1:3" ht="15.75" customHeight="1" x14ac:dyDescent="0.15">
      <c r="A1814">
        <v>322</v>
      </c>
      <c r="B1814">
        <v>270805000</v>
      </c>
      <c r="C1814">
        <v>1</v>
      </c>
    </row>
    <row r="1815" spans="1:3" ht="15.75" customHeight="1" x14ac:dyDescent="0.15">
      <c r="A1815">
        <v>322</v>
      </c>
      <c r="B1815">
        <v>270810000</v>
      </c>
      <c r="C1815">
        <v>1</v>
      </c>
    </row>
    <row r="1816" spans="1:3" ht="15.75" customHeight="1" x14ac:dyDescent="0.15">
      <c r="A1816">
        <v>322</v>
      </c>
      <c r="B1816">
        <v>270903000</v>
      </c>
      <c r="C1816">
        <v>1</v>
      </c>
    </row>
    <row r="1817" spans="1:3" ht="15.75" customHeight="1" x14ac:dyDescent="0.15">
      <c r="A1817">
        <v>322</v>
      </c>
      <c r="B1817">
        <v>270906000</v>
      </c>
      <c r="C1817">
        <v>1</v>
      </c>
    </row>
    <row r="1818" spans="1:3" ht="15.75" customHeight="1" x14ac:dyDescent="0.15">
      <c r="A1818">
        <v>322</v>
      </c>
      <c r="B1818">
        <v>270910000</v>
      </c>
      <c r="C1818">
        <v>1</v>
      </c>
    </row>
    <row r="1819" spans="1:3" ht="15.75" customHeight="1" x14ac:dyDescent="0.15">
      <c r="A1819">
        <v>322</v>
      </c>
      <c r="B1819">
        <v>270926000</v>
      </c>
      <c r="C1819">
        <v>2</v>
      </c>
    </row>
    <row r="1820" spans="1:3" ht="15.75" customHeight="1" x14ac:dyDescent="0.15">
      <c r="A1820">
        <v>322</v>
      </c>
      <c r="B1820">
        <v>271006000</v>
      </c>
      <c r="C1820">
        <v>1</v>
      </c>
    </row>
    <row r="1821" spans="1:3" ht="15.75" customHeight="1" x14ac:dyDescent="0.15">
      <c r="A1821">
        <v>322</v>
      </c>
      <c r="B1821">
        <v>271008000</v>
      </c>
      <c r="C1821">
        <v>1</v>
      </c>
    </row>
    <row r="1822" spans="1:3" ht="15.75" customHeight="1" x14ac:dyDescent="0.15">
      <c r="A1822">
        <v>322</v>
      </c>
      <c r="B1822">
        <v>271020000</v>
      </c>
      <c r="C1822">
        <v>2</v>
      </c>
    </row>
    <row r="1823" spans="1:3" ht="15.75" customHeight="1" x14ac:dyDescent="0.15">
      <c r="A1823">
        <v>322</v>
      </c>
      <c r="B1823">
        <v>271021000</v>
      </c>
      <c r="C1823">
        <v>2</v>
      </c>
    </row>
    <row r="1824" spans="1:3" ht="15.75" customHeight="1" x14ac:dyDescent="0.15">
      <c r="A1824">
        <v>322</v>
      </c>
      <c r="B1824">
        <v>271059000</v>
      </c>
      <c r="C1824">
        <v>6</v>
      </c>
    </row>
    <row r="1825" spans="1:3" ht="15.75" customHeight="1" x14ac:dyDescent="0.15">
      <c r="A1825">
        <v>322</v>
      </c>
      <c r="B1825">
        <v>271074000</v>
      </c>
      <c r="C1825">
        <v>2</v>
      </c>
    </row>
    <row r="1826" spans="1:3" ht="15.75" customHeight="1" x14ac:dyDescent="0.15">
      <c r="A1826">
        <v>322</v>
      </c>
      <c r="B1826">
        <v>271206000</v>
      </c>
      <c r="C1826">
        <v>2</v>
      </c>
    </row>
    <row r="1827" spans="1:3" ht="15.75" customHeight="1" x14ac:dyDescent="0.15">
      <c r="A1827">
        <v>322</v>
      </c>
      <c r="B1827">
        <v>271207000</v>
      </c>
      <c r="C1827">
        <v>3</v>
      </c>
    </row>
    <row r="1828" spans="1:3" ht="15.75" customHeight="1" x14ac:dyDescent="0.15">
      <c r="A1828">
        <v>322</v>
      </c>
      <c r="B1828">
        <v>271214000</v>
      </c>
      <c r="C1828">
        <v>1</v>
      </c>
    </row>
    <row r="1829" spans="1:3" ht="15.75" customHeight="1" x14ac:dyDescent="0.15">
      <c r="A1829">
        <v>322</v>
      </c>
      <c r="B1829">
        <v>271215000</v>
      </c>
      <c r="C1829">
        <v>1</v>
      </c>
    </row>
    <row r="1830" spans="1:3" ht="15.75" customHeight="1" x14ac:dyDescent="0.15">
      <c r="A1830">
        <v>322</v>
      </c>
      <c r="B1830">
        <v>271221000</v>
      </c>
      <c r="C1830">
        <v>1</v>
      </c>
    </row>
    <row r="1831" spans="1:3" ht="15.75" customHeight="1" x14ac:dyDescent="0.15">
      <c r="A1831">
        <v>322</v>
      </c>
      <c r="B1831">
        <v>271236000</v>
      </c>
      <c r="C1831">
        <v>1</v>
      </c>
    </row>
    <row r="1832" spans="1:3" ht="15.75" customHeight="1" x14ac:dyDescent="0.15">
      <c r="A1832">
        <v>322</v>
      </c>
      <c r="B1832">
        <v>271244000</v>
      </c>
      <c r="C1832">
        <v>2</v>
      </c>
    </row>
    <row r="1833" spans="1:3" ht="15.75" customHeight="1" x14ac:dyDescent="0.15">
      <c r="A1833">
        <v>322</v>
      </c>
      <c r="B1833">
        <v>271259000</v>
      </c>
      <c r="C1833">
        <v>1</v>
      </c>
    </row>
    <row r="1834" spans="1:3" ht="15.75" customHeight="1" x14ac:dyDescent="0.15">
      <c r="A1834">
        <v>322</v>
      </c>
      <c r="B1834">
        <v>271260000</v>
      </c>
      <c r="C1834">
        <v>1</v>
      </c>
    </row>
    <row r="1835" spans="1:3" ht="15.75" customHeight="1" x14ac:dyDescent="0.15">
      <c r="A1835">
        <v>322</v>
      </c>
      <c r="B1835">
        <v>271503000</v>
      </c>
      <c r="C1835">
        <v>1</v>
      </c>
    </row>
    <row r="1836" spans="1:3" ht="15.75" customHeight="1" x14ac:dyDescent="0.15">
      <c r="A1836">
        <v>324</v>
      </c>
      <c r="B1836">
        <v>270140000</v>
      </c>
      <c r="C1836">
        <v>2</v>
      </c>
    </row>
    <row r="1837" spans="1:3" ht="15.75" customHeight="1" x14ac:dyDescent="0.15">
      <c r="A1837">
        <v>324</v>
      </c>
      <c r="B1837">
        <v>270328000</v>
      </c>
      <c r="C1837">
        <v>2</v>
      </c>
    </row>
    <row r="1838" spans="1:3" ht="15.75" customHeight="1" x14ac:dyDescent="0.15">
      <c r="A1838">
        <v>324</v>
      </c>
      <c r="B1838">
        <v>270412000</v>
      </c>
      <c r="C1838">
        <v>1</v>
      </c>
    </row>
    <row r="1839" spans="1:3" ht="15.75" customHeight="1" x14ac:dyDescent="0.15">
      <c r="A1839">
        <v>324</v>
      </c>
      <c r="B1839">
        <v>270710000</v>
      </c>
      <c r="C1839">
        <v>2</v>
      </c>
    </row>
    <row r="1840" spans="1:3" ht="15.75" customHeight="1" x14ac:dyDescent="0.15">
      <c r="A1840">
        <v>324</v>
      </c>
      <c r="B1840">
        <v>270716000</v>
      </c>
      <c r="C1840">
        <v>3</v>
      </c>
    </row>
    <row r="1841" spans="1:3" ht="15.75" customHeight="1" x14ac:dyDescent="0.15">
      <c r="A1841">
        <v>324</v>
      </c>
      <c r="B1841">
        <v>270810000</v>
      </c>
      <c r="C1841">
        <v>1</v>
      </c>
    </row>
    <row r="1842" spans="1:3" ht="15.75" customHeight="1" x14ac:dyDescent="0.15">
      <c r="A1842">
        <v>324</v>
      </c>
      <c r="B1842">
        <v>270905000</v>
      </c>
      <c r="C1842">
        <v>2</v>
      </c>
    </row>
    <row r="1843" spans="1:3" ht="15.75" customHeight="1" x14ac:dyDescent="0.15">
      <c r="A1843">
        <v>324</v>
      </c>
      <c r="B1843">
        <v>270926000</v>
      </c>
      <c r="C1843">
        <v>2</v>
      </c>
    </row>
    <row r="1844" spans="1:3" ht="15.75" customHeight="1" x14ac:dyDescent="0.15">
      <c r="A1844">
        <v>324</v>
      </c>
      <c r="B1844">
        <v>271005000</v>
      </c>
      <c r="C1844">
        <v>1</v>
      </c>
    </row>
    <row r="1845" spans="1:3" ht="15.75" customHeight="1" x14ac:dyDescent="0.15">
      <c r="A1845">
        <v>324</v>
      </c>
      <c r="B1845">
        <v>271010000</v>
      </c>
      <c r="C1845">
        <v>1</v>
      </c>
    </row>
    <row r="1846" spans="1:3" ht="15.75" customHeight="1" x14ac:dyDescent="0.15">
      <c r="A1846">
        <v>324</v>
      </c>
      <c r="B1846">
        <v>271020000</v>
      </c>
      <c r="C1846">
        <v>1</v>
      </c>
    </row>
    <row r="1847" spans="1:3" ht="15.75" customHeight="1" x14ac:dyDescent="0.15">
      <c r="A1847">
        <v>324</v>
      </c>
      <c r="B1847">
        <v>271021000</v>
      </c>
      <c r="C1847">
        <v>1</v>
      </c>
    </row>
    <row r="1848" spans="1:3" ht="15.75" customHeight="1" x14ac:dyDescent="0.15">
      <c r="A1848">
        <v>324</v>
      </c>
      <c r="B1848">
        <v>271059000</v>
      </c>
      <c r="C1848">
        <v>2</v>
      </c>
    </row>
    <row r="1849" spans="1:3" ht="15.75" customHeight="1" x14ac:dyDescent="0.15">
      <c r="A1849">
        <v>324</v>
      </c>
      <c r="B1849">
        <v>271074000</v>
      </c>
      <c r="C1849">
        <v>1</v>
      </c>
    </row>
    <row r="1850" spans="1:3" ht="15.75" customHeight="1" x14ac:dyDescent="0.15">
      <c r="A1850">
        <v>324</v>
      </c>
      <c r="B1850">
        <v>271206000</v>
      </c>
      <c r="C1850">
        <v>1</v>
      </c>
    </row>
    <row r="1851" spans="1:3" ht="15.75" customHeight="1" x14ac:dyDescent="0.15">
      <c r="A1851">
        <v>324</v>
      </c>
      <c r="B1851">
        <v>271215000</v>
      </c>
      <c r="C1851">
        <v>1</v>
      </c>
    </row>
    <row r="1852" spans="1:3" ht="15.75" customHeight="1" x14ac:dyDescent="0.15">
      <c r="A1852">
        <v>324</v>
      </c>
      <c r="B1852">
        <v>271221000</v>
      </c>
      <c r="C1852">
        <v>1</v>
      </c>
    </row>
    <row r="1853" spans="1:3" ht="15.75" customHeight="1" x14ac:dyDescent="0.15">
      <c r="A1853">
        <v>324</v>
      </c>
      <c r="B1853">
        <v>271259000</v>
      </c>
      <c r="C1853">
        <v>1</v>
      </c>
    </row>
    <row r="1854" spans="1:3" ht="15.75" customHeight="1" x14ac:dyDescent="0.15">
      <c r="A1854">
        <v>329</v>
      </c>
      <c r="B1854">
        <v>270140000</v>
      </c>
      <c r="C1854">
        <v>1</v>
      </c>
    </row>
    <row r="1855" spans="1:3" ht="15.75" customHeight="1" x14ac:dyDescent="0.15">
      <c r="A1855">
        <v>329</v>
      </c>
      <c r="B1855">
        <v>270204000</v>
      </c>
      <c r="C1855">
        <v>1</v>
      </c>
    </row>
    <row r="1856" spans="1:3" ht="15.75" customHeight="1" x14ac:dyDescent="0.15">
      <c r="A1856">
        <v>329</v>
      </c>
      <c r="B1856">
        <v>270304000</v>
      </c>
      <c r="C1856">
        <v>1</v>
      </c>
    </row>
    <row r="1857" spans="1:3" ht="15.75" customHeight="1" x14ac:dyDescent="0.15">
      <c r="A1857">
        <v>329</v>
      </c>
      <c r="B1857">
        <v>270316000</v>
      </c>
      <c r="C1857">
        <v>2</v>
      </c>
    </row>
    <row r="1858" spans="1:3" ht="15.75" customHeight="1" x14ac:dyDescent="0.15">
      <c r="A1858">
        <v>329</v>
      </c>
      <c r="B1858">
        <v>270328000</v>
      </c>
      <c r="C1858">
        <v>4</v>
      </c>
    </row>
    <row r="1859" spans="1:3" ht="15.75" customHeight="1" x14ac:dyDescent="0.15">
      <c r="A1859">
        <v>329</v>
      </c>
      <c r="B1859">
        <v>270330000</v>
      </c>
      <c r="C1859">
        <v>1</v>
      </c>
    </row>
    <row r="1860" spans="1:3" ht="15.75" customHeight="1" x14ac:dyDescent="0.15">
      <c r="A1860">
        <v>329</v>
      </c>
      <c r="B1860">
        <v>270403000</v>
      </c>
      <c r="C1860">
        <v>1</v>
      </c>
    </row>
    <row r="1861" spans="1:3" ht="15.75" customHeight="1" x14ac:dyDescent="0.15">
      <c r="A1861">
        <v>329</v>
      </c>
      <c r="B1861">
        <v>270412000</v>
      </c>
      <c r="C1861">
        <v>1</v>
      </c>
    </row>
    <row r="1862" spans="1:3" ht="15.75" customHeight="1" x14ac:dyDescent="0.15">
      <c r="A1862">
        <v>329</v>
      </c>
      <c r="B1862">
        <v>270413000</v>
      </c>
      <c r="C1862">
        <v>1</v>
      </c>
    </row>
    <row r="1863" spans="1:3" ht="15.75" customHeight="1" x14ac:dyDescent="0.15">
      <c r="A1863">
        <v>329</v>
      </c>
      <c r="B1863">
        <v>270710000</v>
      </c>
      <c r="C1863">
        <v>8</v>
      </c>
    </row>
    <row r="1864" spans="1:3" ht="15.75" customHeight="1" x14ac:dyDescent="0.15">
      <c r="A1864">
        <v>329</v>
      </c>
      <c r="B1864">
        <v>270801000</v>
      </c>
      <c r="C1864">
        <v>1</v>
      </c>
    </row>
    <row r="1865" spans="1:3" ht="15.75" customHeight="1" x14ac:dyDescent="0.15">
      <c r="A1865">
        <v>329</v>
      </c>
      <c r="B1865">
        <v>270803000</v>
      </c>
      <c r="C1865">
        <v>2</v>
      </c>
    </row>
    <row r="1866" spans="1:3" ht="15.75" customHeight="1" x14ac:dyDescent="0.15">
      <c r="A1866">
        <v>329</v>
      </c>
      <c r="B1866">
        <v>270810000</v>
      </c>
      <c r="C1866">
        <v>1</v>
      </c>
    </row>
    <row r="1867" spans="1:3" ht="15.75" customHeight="1" x14ac:dyDescent="0.15">
      <c r="A1867">
        <v>329</v>
      </c>
      <c r="B1867">
        <v>270903000</v>
      </c>
      <c r="C1867">
        <v>1</v>
      </c>
    </row>
    <row r="1868" spans="1:3" ht="15.75" customHeight="1" x14ac:dyDescent="0.15">
      <c r="A1868">
        <v>329</v>
      </c>
      <c r="B1868">
        <v>270906000</v>
      </c>
      <c r="C1868">
        <v>1</v>
      </c>
    </row>
    <row r="1869" spans="1:3" ht="15.75" customHeight="1" x14ac:dyDescent="0.15">
      <c r="A1869">
        <v>329</v>
      </c>
      <c r="B1869">
        <v>270910000</v>
      </c>
      <c r="C1869">
        <v>1</v>
      </c>
    </row>
    <row r="1870" spans="1:3" ht="15.75" customHeight="1" x14ac:dyDescent="0.15">
      <c r="A1870">
        <v>329</v>
      </c>
      <c r="B1870">
        <v>270926000</v>
      </c>
      <c r="C1870">
        <v>3</v>
      </c>
    </row>
    <row r="1871" spans="1:3" ht="15.75" customHeight="1" x14ac:dyDescent="0.15">
      <c r="A1871">
        <v>329</v>
      </c>
      <c r="B1871">
        <v>271006000</v>
      </c>
      <c r="C1871">
        <v>2</v>
      </c>
    </row>
    <row r="1872" spans="1:3" ht="15.75" customHeight="1" x14ac:dyDescent="0.15">
      <c r="A1872">
        <v>329</v>
      </c>
      <c r="B1872">
        <v>271008000</v>
      </c>
      <c r="C1872">
        <v>1</v>
      </c>
    </row>
    <row r="1873" spans="1:3" ht="15.75" customHeight="1" x14ac:dyDescent="0.15">
      <c r="A1873">
        <v>329</v>
      </c>
      <c r="B1873">
        <v>271010000</v>
      </c>
      <c r="C1873">
        <v>1</v>
      </c>
    </row>
    <row r="1874" spans="1:3" ht="15.75" customHeight="1" x14ac:dyDescent="0.15">
      <c r="A1874">
        <v>329</v>
      </c>
      <c r="B1874">
        <v>271011000</v>
      </c>
      <c r="C1874">
        <v>2</v>
      </c>
    </row>
    <row r="1875" spans="1:3" ht="15.75" customHeight="1" x14ac:dyDescent="0.15">
      <c r="A1875">
        <v>329</v>
      </c>
      <c r="B1875">
        <v>271020000</v>
      </c>
      <c r="C1875">
        <v>1</v>
      </c>
    </row>
    <row r="1876" spans="1:3" ht="15.75" customHeight="1" x14ac:dyDescent="0.15">
      <c r="A1876">
        <v>329</v>
      </c>
      <c r="B1876">
        <v>271021000</v>
      </c>
      <c r="C1876">
        <v>1</v>
      </c>
    </row>
    <row r="1877" spans="1:3" ht="15.75" customHeight="1" x14ac:dyDescent="0.15">
      <c r="A1877">
        <v>329</v>
      </c>
      <c r="B1877">
        <v>271059000</v>
      </c>
      <c r="C1877">
        <v>4</v>
      </c>
    </row>
    <row r="1878" spans="1:3" ht="15.75" customHeight="1" x14ac:dyDescent="0.15">
      <c r="A1878">
        <v>329</v>
      </c>
      <c r="B1878">
        <v>271074000</v>
      </c>
      <c r="C1878">
        <v>3</v>
      </c>
    </row>
    <row r="1879" spans="1:3" ht="15.75" customHeight="1" x14ac:dyDescent="0.15">
      <c r="A1879">
        <v>329</v>
      </c>
      <c r="B1879">
        <v>271207000</v>
      </c>
      <c r="C1879">
        <v>3</v>
      </c>
    </row>
    <row r="1880" spans="1:3" ht="15.75" customHeight="1" x14ac:dyDescent="0.15">
      <c r="A1880">
        <v>329</v>
      </c>
      <c r="B1880">
        <v>271214000</v>
      </c>
      <c r="C1880">
        <v>3</v>
      </c>
    </row>
    <row r="1881" spans="1:3" ht="15.75" customHeight="1" x14ac:dyDescent="0.15">
      <c r="A1881">
        <v>329</v>
      </c>
      <c r="B1881">
        <v>271215000</v>
      </c>
      <c r="C1881">
        <v>2</v>
      </c>
    </row>
    <row r="1882" spans="1:3" ht="15.75" customHeight="1" x14ac:dyDescent="0.15">
      <c r="A1882">
        <v>329</v>
      </c>
      <c r="B1882">
        <v>271221000</v>
      </c>
      <c r="C1882">
        <v>3</v>
      </c>
    </row>
    <row r="1883" spans="1:3" ht="15.75" customHeight="1" x14ac:dyDescent="0.15">
      <c r="A1883">
        <v>329</v>
      </c>
      <c r="B1883">
        <v>271259000</v>
      </c>
      <c r="C1883">
        <v>1</v>
      </c>
    </row>
    <row r="1884" spans="1:3" ht="15.75" customHeight="1" x14ac:dyDescent="0.15">
      <c r="A1884">
        <v>329</v>
      </c>
      <c r="B1884">
        <v>271503000</v>
      </c>
      <c r="C1884">
        <v>1</v>
      </c>
    </row>
    <row r="1885" spans="1:3" ht="15.75" customHeight="1" x14ac:dyDescent="0.15">
      <c r="A1885">
        <v>329</v>
      </c>
      <c r="B1885">
        <v>271612000</v>
      </c>
      <c r="C1885">
        <v>1</v>
      </c>
    </row>
    <row r="1886" spans="1:3" ht="15.75" customHeight="1" x14ac:dyDescent="0.15">
      <c r="A1886">
        <v>330</v>
      </c>
      <c r="B1886">
        <v>270140000</v>
      </c>
      <c r="C1886">
        <v>1</v>
      </c>
    </row>
    <row r="1887" spans="1:3" ht="15.75" customHeight="1" x14ac:dyDescent="0.15">
      <c r="A1887">
        <v>330</v>
      </c>
      <c r="B1887">
        <v>270217000</v>
      </c>
      <c r="C1887">
        <v>1</v>
      </c>
    </row>
    <row r="1888" spans="1:3" ht="15.75" customHeight="1" x14ac:dyDescent="0.15">
      <c r="A1888">
        <v>330</v>
      </c>
      <c r="B1888">
        <v>270316000</v>
      </c>
      <c r="C1888">
        <v>4</v>
      </c>
    </row>
    <row r="1889" spans="1:3" ht="15.75" customHeight="1" x14ac:dyDescent="0.15">
      <c r="A1889">
        <v>330</v>
      </c>
      <c r="B1889">
        <v>270328000</v>
      </c>
      <c r="C1889">
        <v>3</v>
      </c>
    </row>
    <row r="1890" spans="1:3" ht="15.75" customHeight="1" x14ac:dyDescent="0.15">
      <c r="A1890">
        <v>330</v>
      </c>
      <c r="B1890">
        <v>270330000</v>
      </c>
      <c r="C1890">
        <v>1</v>
      </c>
    </row>
    <row r="1891" spans="1:3" ht="15.75" customHeight="1" x14ac:dyDescent="0.15">
      <c r="A1891">
        <v>330</v>
      </c>
      <c r="B1891">
        <v>270403000</v>
      </c>
      <c r="C1891">
        <v>1</v>
      </c>
    </row>
    <row r="1892" spans="1:3" ht="15.75" customHeight="1" x14ac:dyDescent="0.15">
      <c r="A1892">
        <v>330</v>
      </c>
      <c r="B1892">
        <v>270412000</v>
      </c>
      <c r="C1892">
        <v>3</v>
      </c>
    </row>
    <row r="1893" spans="1:3" ht="15.75" customHeight="1" x14ac:dyDescent="0.15">
      <c r="A1893">
        <v>330</v>
      </c>
      <c r="B1893">
        <v>270710000</v>
      </c>
      <c r="C1893">
        <v>3</v>
      </c>
    </row>
    <row r="1894" spans="1:3" ht="15.75" customHeight="1" x14ac:dyDescent="0.15">
      <c r="A1894">
        <v>330</v>
      </c>
      <c r="B1894">
        <v>270805000</v>
      </c>
      <c r="C1894">
        <v>1</v>
      </c>
    </row>
    <row r="1895" spans="1:3" ht="15.75" customHeight="1" x14ac:dyDescent="0.15">
      <c r="A1895">
        <v>330</v>
      </c>
      <c r="B1895">
        <v>270806000</v>
      </c>
      <c r="C1895">
        <v>1</v>
      </c>
    </row>
    <row r="1896" spans="1:3" ht="15.75" customHeight="1" x14ac:dyDescent="0.15">
      <c r="A1896">
        <v>330</v>
      </c>
      <c r="B1896">
        <v>270810000</v>
      </c>
      <c r="C1896">
        <v>1</v>
      </c>
    </row>
    <row r="1897" spans="1:3" ht="15.75" customHeight="1" x14ac:dyDescent="0.15">
      <c r="A1897">
        <v>330</v>
      </c>
      <c r="B1897">
        <v>270903000</v>
      </c>
      <c r="C1897">
        <v>1</v>
      </c>
    </row>
    <row r="1898" spans="1:3" ht="15.75" customHeight="1" x14ac:dyDescent="0.15">
      <c r="A1898">
        <v>330</v>
      </c>
      <c r="B1898">
        <v>270905000</v>
      </c>
      <c r="C1898">
        <v>1</v>
      </c>
    </row>
    <row r="1899" spans="1:3" ht="15.75" customHeight="1" x14ac:dyDescent="0.15">
      <c r="A1899">
        <v>330</v>
      </c>
      <c r="B1899">
        <v>270910000</v>
      </c>
      <c r="C1899">
        <v>1</v>
      </c>
    </row>
    <row r="1900" spans="1:3" ht="15.75" customHeight="1" x14ac:dyDescent="0.15">
      <c r="A1900">
        <v>330</v>
      </c>
      <c r="B1900">
        <v>270926000</v>
      </c>
      <c r="C1900">
        <v>1</v>
      </c>
    </row>
    <row r="1901" spans="1:3" ht="15.75" customHeight="1" x14ac:dyDescent="0.15">
      <c r="A1901">
        <v>330</v>
      </c>
      <c r="B1901">
        <v>271002000</v>
      </c>
      <c r="C1901">
        <v>1</v>
      </c>
    </row>
    <row r="1902" spans="1:3" ht="15.75" customHeight="1" x14ac:dyDescent="0.15">
      <c r="A1902">
        <v>330</v>
      </c>
      <c r="B1902">
        <v>271005000</v>
      </c>
      <c r="C1902">
        <v>1</v>
      </c>
    </row>
    <row r="1903" spans="1:3" ht="15.75" customHeight="1" x14ac:dyDescent="0.15">
      <c r="A1903">
        <v>330</v>
      </c>
      <c r="B1903">
        <v>271006000</v>
      </c>
      <c r="C1903">
        <v>1</v>
      </c>
    </row>
    <row r="1904" spans="1:3" ht="15.75" customHeight="1" x14ac:dyDescent="0.15">
      <c r="A1904">
        <v>330</v>
      </c>
      <c r="B1904">
        <v>271010000</v>
      </c>
      <c r="C1904">
        <v>1</v>
      </c>
    </row>
    <row r="1905" spans="1:3" ht="15.75" customHeight="1" x14ac:dyDescent="0.15">
      <c r="A1905">
        <v>330</v>
      </c>
      <c r="B1905">
        <v>271011000</v>
      </c>
      <c r="C1905">
        <v>2</v>
      </c>
    </row>
    <row r="1906" spans="1:3" ht="15.75" customHeight="1" x14ac:dyDescent="0.15">
      <c r="A1906">
        <v>330</v>
      </c>
      <c r="B1906">
        <v>271020000</v>
      </c>
      <c r="C1906">
        <v>1</v>
      </c>
    </row>
    <row r="1907" spans="1:3" ht="15.75" customHeight="1" x14ac:dyDescent="0.15">
      <c r="A1907">
        <v>330</v>
      </c>
      <c r="B1907">
        <v>271059000</v>
      </c>
      <c r="C1907">
        <v>4</v>
      </c>
    </row>
    <row r="1908" spans="1:3" ht="15.75" customHeight="1" x14ac:dyDescent="0.15">
      <c r="A1908">
        <v>330</v>
      </c>
      <c r="B1908">
        <v>271074000</v>
      </c>
      <c r="C1908">
        <v>1</v>
      </c>
    </row>
    <row r="1909" spans="1:3" ht="15.75" customHeight="1" x14ac:dyDescent="0.15">
      <c r="A1909">
        <v>330</v>
      </c>
      <c r="B1909">
        <v>271206000</v>
      </c>
      <c r="C1909">
        <v>2</v>
      </c>
    </row>
    <row r="1910" spans="1:3" ht="15.75" customHeight="1" x14ac:dyDescent="0.15">
      <c r="A1910">
        <v>330</v>
      </c>
      <c r="B1910">
        <v>271207000</v>
      </c>
      <c r="C1910">
        <v>3</v>
      </c>
    </row>
    <row r="1911" spans="1:3" ht="15.75" customHeight="1" x14ac:dyDescent="0.15">
      <c r="A1911">
        <v>330</v>
      </c>
      <c r="B1911">
        <v>271214000</v>
      </c>
      <c r="C1911">
        <v>2</v>
      </c>
    </row>
    <row r="1912" spans="1:3" ht="15.75" customHeight="1" x14ac:dyDescent="0.15">
      <c r="A1912">
        <v>330</v>
      </c>
      <c r="B1912">
        <v>271215000</v>
      </c>
      <c r="C1912">
        <v>1</v>
      </c>
    </row>
    <row r="1913" spans="1:3" ht="15.75" customHeight="1" x14ac:dyDescent="0.15">
      <c r="A1913">
        <v>330</v>
      </c>
      <c r="B1913">
        <v>271259000</v>
      </c>
      <c r="C1913">
        <v>1</v>
      </c>
    </row>
    <row r="1914" spans="1:3" ht="15.75" customHeight="1" x14ac:dyDescent="0.15">
      <c r="A1914">
        <v>330</v>
      </c>
      <c r="B1914">
        <v>271612000</v>
      </c>
      <c r="C1914">
        <v>1</v>
      </c>
    </row>
    <row r="1915" spans="1:3" ht="15.75" customHeight="1" x14ac:dyDescent="0.15">
      <c r="A1915">
        <v>401</v>
      </c>
      <c r="B1915">
        <v>270140000</v>
      </c>
      <c r="C1915">
        <v>2</v>
      </c>
    </row>
    <row r="1916" spans="1:3" ht="15.75" customHeight="1" x14ac:dyDescent="0.15">
      <c r="A1916">
        <v>401</v>
      </c>
      <c r="B1916">
        <v>270328000</v>
      </c>
      <c r="C1916">
        <v>1</v>
      </c>
    </row>
    <row r="1917" spans="1:3" ht="15.75" customHeight="1" x14ac:dyDescent="0.15">
      <c r="A1917">
        <v>401</v>
      </c>
      <c r="B1917">
        <v>270710000</v>
      </c>
      <c r="C1917">
        <v>1</v>
      </c>
    </row>
    <row r="1918" spans="1:3" ht="15.75" customHeight="1" x14ac:dyDescent="0.15">
      <c r="A1918">
        <v>401</v>
      </c>
      <c r="B1918">
        <v>270810000</v>
      </c>
      <c r="C1918">
        <v>1</v>
      </c>
    </row>
    <row r="1919" spans="1:3" ht="15.75" customHeight="1" x14ac:dyDescent="0.15">
      <c r="A1919">
        <v>401</v>
      </c>
      <c r="B1919">
        <v>270926000</v>
      </c>
      <c r="C1919">
        <v>1</v>
      </c>
    </row>
    <row r="1920" spans="1:3" ht="15.75" customHeight="1" x14ac:dyDescent="0.15">
      <c r="A1920">
        <v>401</v>
      </c>
      <c r="B1920">
        <v>271006000</v>
      </c>
      <c r="C1920">
        <v>1</v>
      </c>
    </row>
    <row r="1921" spans="1:3" ht="15.75" customHeight="1" x14ac:dyDescent="0.15">
      <c r="A1921">
        <v>401</v>
      </c>
      <c r="B1921">
        <v>271059000</v>
      </c>
      <c r="C1921">
        <v>3</v>
      </c>
    </row>
    <row r="1922" spans="1:3" ht="15.75" customHeight="1" x14ac:dyDescent="0.15">
      <c r="A1922">
        <v>401</v>
      </c>
      <c r="B1922">
        <v>271074000</v>
      </c>
      <c r="C1922">
        <v>2</v>
      </c>
    </row>
    <row r="1923" spans="1:3" ht="15.75" customHeight="1" x14ac:dyDescent="0.15">
      <c r="A1923">
        <v>401</v>
      </c>
      <c r="B1923">
        <v>271206000</v>
      </c>
      <c r="C1923">
        <v>1</v>
      </c>
    </row>
    <row r="1924" spans="1:3" ht="15.75" customHeight="1" x14ac:dyDescent="0.15">
      <c r="A1924">
        <v>401</v>
      </c>
      <c r="B1924">
        <v>271216000</v>
      </c>
      <c r="C1924">
        <v>2</v>
      </c>
    </row>
    <row r="1925" spans="1:3" ht="15.75" customHeight="1" x14ac:dyDescent="0.15">
      <c r="A1925">
        <v>401</v>
      </c>
      <c r="B1925">
        <v>271221000</v>
      </c>
      <c r="C1925">
        <v>7</v>
      </c>
    </row>
    <row r="1926" spans="1:3" ht="15.75" customHeight="1" x14ac:dyDescent="0.15">
      <c r="A1926">
        <v>401</v>
      </c>
      <c r="B1926">
        <v>271226000</v>
      </c>
      <c r="C1926">
        <v>5</v>
      </c>
    </row>
    <row r="1927" spans="1:3" ht="15.75" customHeight="1" x14ac:dyDescent="0.15">
      <c r="A1927">
        <v>403</v>
      </c>
      <c r="B1927">
        <v>270140000</v>
      </c>
      <c r="C1927">
        <v>2</v>
      </c>
    </row>
    <row r="1928" spans="1:3" ht="15.75" customHeight="1" x14ac:dyDescent="0.15">
      <c r="A1928">
        <v>403</v>
      </c>
      <c r="B1928">
        <v>270217000</v>
      </c>
      <c r="C1928">
        <v>1</v>
      </c>
    </row>
    <row r="1929" spans="1:3" ht="15.75" customHeight="1" x14ac:dyDescent="0.15">
      <c r="A1929">
        <v>403</v>
      </c>
      <c r="B1929">
        <v>270328000</v>
      </c>
      <c r="C1929">
        <v>3</v>
      </c>
    </row>
    <row r="1930" spans="1:3" ht="15.75" customHeight="1" x14ac:dyDescent="0.15">
      <c r="A1930">
        <v>403</v>
      </c>
      <c r="B1930">
        <v>270710000</v>
      </c>
      <c r="C1930">
        <v>3</v>
      </c>
    </row>
    <row r="1931" spans="1:3" ht="15.75" customHeight="1" x14ac:dyDescent="0.15">
      <c r="A1931">
        <v>403</v>
      </c>
      <c r="B1931">
        <v>270716000</v>
      </c>
      <c r="C1931">
        <v>3</v>
      </c>
    </row>
    <row r="1932" spans="1:3" ht="15.75" customHeight="1" x14ac:dyDescent="0.15">
      <c r="A1932">
        <v>403</v>
      </c>
      <c r="B1932">
        <v>270810000</v>
      </c>
      <c r="C1932">
        <v>1</v>
      </c>
    </row>
    <row r="1933" spans="1:3" ht="15.75" customHeight="1" x14ac:dyDescent="0.15">
      <c r="A1933">
        <v>403</v>
      </c>
      <c r="B1933">
        <v>270926000</v>
      </c>
      <c r="C1933">
        <v>1</v>
      </c>
    </row>
    <row r="1934" spans="1:3" ht="15.75" customHeight="1" x14ac:dyDescent="0.15">
      <c r="A1934">
        <v>403</v>
      </c>
      <c r="B1934">
        <v>271010000</v>
      </c>
      <c r="C1934">
        <v>1</v>
      </c>
    </row>
    <row r="1935" spans="1:3" ht="15.75" customHeight="1" x14ac:dyDescent="0.15">
      <c r="A1935">
        <v>403</v>
      </c>
      <c r="B1935">
        <v>271059000</v>
      </c>
      <c r="C1935">
        <v>2</v>
      </c>
    </row>
    <row r="1936" spans="1:3" ht="15.75" customHeight="1" x14ac:dyDescent="0.15">
      <c r="A1936">
        <v>403</v>
      </c>
      <c r="B1936">
        <v>271207000</v>
      </c>
      <c r="C1936">
        <v>1</v>
      </c>
    </row>
    <row r="1937" spans="1:3" ht="15.75" customHeight="1" x14ac:dyDescent="0.15">
      <c r="A1937">
        <v>403</v>
      </c>
      <c r="B1937">
        <v>271221000</v>
      </c>
      <c r="C1937">
        <v>2</v>
      </c>
    </row>
    <row r="1938" spans="1:3" ht="15.75" customHeight="1" x14ac:dyDescent="0.15">
      <c r="A1938">
        <v>403</v>
      </c>
      <c r="B1938">
        <v>271236000</v>
      </c>
      <c r="C1938">
        <v>2</v>
      </c>
    </row>
    <row r="1939" spans="1:3" ht="15.75" customHeight="1" x14ac:dyDescent="0.15">
      <c r="A1939">
        <v>403</v>
      </c>
      <c r="B1939">
        <v>271245000</v>
      </c>
      <c r="C1939">
        <v>1</v>
      </c>
    </row>
    <row r="1940" spans="1:3" ht="15.75" customHeight="1" x14ac:dyDescent="0.15">
      <c r="A1940">
        <v>403</v>
      </c>
      <c r="B1940">
        <v>271503000</v>
      </c>
      <c r="C1940">
        <v>1</v>
      </c>
    </row>
    <row r="1941" spans="1:3" ht="15.75" customHeight="1" x14ac:dyDescent="0.15">
      <c r="A1941">
        <v>406</v>
      </c>
      <c r="B1941">
        <v>270316000</v>
      </c>
      <c r="C1941">
        <v>1</v>
      </c>
    </row>
    <row r="1942" spans="1:3" ht="15.75" customHeight="1" x14ac:dyDescent="0.15">
      <c r="A1942">
        <v>406</v>
      </c>
      <c r="B1942">
        <v>270328000</v>
      </c>
      <c r="C1942">
        <v>2</v>
      </c>
    </row>
    <row r="1943" spans="1:3" ht="15.75" customHeight="1" x14ac:dyDescent="0.15">
      <c r="A1943">
        <v>406</v>
      </c>
      <c r="B1943">
        <v>270330000</v>
      </c>
      <c r="C1943">
        <v>1</v>
      </c>
    </row>
    <row r="1944" spans="1:3" ht="15.75" customHeight="1" x14ac:dyDescent="0.15">
      <c r="A1944">
        <v>406</v>
      </c>
      <c r="B1944">
        <v>270408000</v>
      </c>
      <c r="C1944">
        <v>1</v>
      </c>
    </row>
    <row r="1945" spans="1:3" ht="15.75" customHeight="1" x14ac:dyDescent="0.15">
      <c r="A1945">
        <v>406</v>
      </c>
      <c r="B1945">
        <v>270801000</v>
      </c>
      <c r="C1945">
        <v>1</v>
      </c>
    </row>
    <row r="1946" spans="1:3" ht="15.75" customHeight="1" x14ac:dyDescent="0.15">
      <c r="A1946">
        <v>406</v>
      </c>
      <c r="B1946">
        <v>271006000</v>
      </c>
      <c r="C1946">
        <v>1</v>
      </c>
    </row>
    <row r="1947" spans="1:3" ht="15.75" customHeight="1" x14ac:dyDescent="0.15">
      <c r="A1947">
        <v>406</v>
      </c>
      <c r="B1947">
        <v>271008000</v>
      </c>
      <c r="C1947">
        <v>1</v>
      </c>
    </row>
    <row r="1948" spans="1:3" ht="15.75" customHeight="1" x14ac:dyDescent="0.15">
      <c r="A1948">
        <v>406</v>
      </c>
      <c r="B1948">
        <v>271059000</v>
      </c>
      <c r="C1948">
        <v>2</v>
      </c>
    </row>
    <row r="1949" spans="1:3" ht="15.75" customHeight="1" x14ac:dyDescent="0.15">
      <c r="A1949">
        <v>406</v>
      </c>
      <c r="B1949">
        <v>271216000</v>
      </c>
      <c r="C1949">
        <v>1</v>
      </c>
    </row>
    <row r="1950" spans="1:3" ht="15.75" customHeight="1" x14ac:dyDescent="0.15">
      <c r="A1950">
        <v>406</v>
      </c>
      <c r="B1950">
        <v>271221000</v>
      </c>
      <c r="C1950">
        <v>1</v>
      </c>
    </row>
    <row r="1951" spans="1:3" ht="15.75" customHeight="1" x14ac:dyDescent="0.15">
      <c r="A1951">
        <v>406</v>
      </c>
      <c r="B1951">
        <v>271226000</v>
      </c>
      <c r="C1951">
        <v>2</v>
      </c>
    </row>
    <row r="1952" spans="1:3" ht="15.75" customHeight="1" x14ac:dyDescent="0.15">
      <c r="A1952">
        <v>411</v>
      </c>
      <c r="B1952">
        <v>270140000</v>
      </c>
      <c r="C1952">
        <v>1</v>
      </c>
    </row>
    <row r="1953" spans="1:3" ht="15.75" customHeight="1" x14ac:dyDescent="0.15">
      <c r="A1953">
        <v>411</v>
      </c>
      <c r="B1953">
        <v>270316000</v>
      </c>
      <c r="C1953">
        <v>1</v>
      </c>
    </row>
    <row r="1954" spans="1:3" ht="15.75" customHeight="1" x14ac:dyDescent="0.15">
      <c r="A1954">
        <v>411</v>
      </c>
      <c r="B1954">
        <v>270328000</v>
      </c>
      <c r="C1954">
        <v>3</v>
      </c>
    </row>
    <row r="1955" spans="1:3" ht="15.75" customHeight="1" x14ac:dyDescent="0.15">
      <c r="A1955">
        <v>411</v>
      </c>
      <c r="B1955">
        <v>270330000</v>
      </c>
      <c r="C1955">
        <v>1</v>
      </c>
    </row>
    <row r="1956" spans="1:3" ht="15.75" customHeight="1" x14ac:dyDescent="0.15">
      <c r="A1956">
        <v>411</v>
      </c>
      <c r="B1956">
        <v>270710000</v>
      </c>
      <c r="C1956">
        <v>1</v>
      </c>
    </row>
    <row r="1957" spans="1:3" ht="15.75" customHeight="1" x14ac:dyDescent="0.15">
      <c r="A1957">
        <v>411</v>
      </c>
      <c r="B1957">
        <v>270810000</v>
      </c>
      <c r="C1957">
        <v>1</v>
      </c>
    </row>
    <row r="1958" spans="1:3" ht="15.75" customHeight="1" x14ac:dyDescent="0.15">
      <c r="A1958">
        <v>411</v>
      </c>
      <c r="B1958">
        <v>270910000</v>
      </c>
      <c r="C1958">
        <v>1</v>
      </c>
    </row>
    <row r="1959" spans="1:3" ht="15.75" customHeight="1" x14ac:dyDescent="0.15">
      <c r="A1959">
        <v>411</v>
      </c>
      <c r="B1959">
        <v>270926000</v>
      </c>
      <c r="C1959">
        <v>1</v>
      </c>
    </row>
    <row r="1960" spans="1:3" ht="15.75" customHeight="1" x14ac:dyDescent="0.15">
      <c r="A1960">
        <v>411</v>
      </c>
      <c r="B1960">
        <v>271006000</v>
      </c>
      <c r="C1960">
        <v>1</v>
      </c>
    </row>
    <row r="1961" spans="1:3" ht="15.75" customHeight="1" x14ac:dyDescent="0.15">
      <c r="A1961">
        <v>411</v>
      </c>
      <c r="B1961">
        <v>271008000</v>
      </c>
      <c r="C1961">
        <v>1</v>
      </c>
    </row>
    <row r="1962" spans="1:3" ht="15.75" customHeight="1" x14ac:dyDescent="0.15">
      <c r="A1962">
        <v>411</v>
      </c>
      <c r="B1962">
        <v>271059000</v>
      </c>
      <c r="C1962">
        <v>2</v>
      </c>
    </row>
    <row r="1963" spans="1:3" ht="15.75" customHeight="1" x14ac:dyDescent="0.15">
      <c r="A1963">
        <v>411</v>
      </c>
      <c r="B1963">
        <v>271074000</v>
      </c>
      <c r="C1963">
        <v>2</v>
      </c>
    </row>
    <row r="1964" spans="1:3" ht="15.75" customHeight="1" x14ac:dyDescent="0.15">
      <c r="A1964">
        <v>411</v>
      </c>
      <c r="B1964">
        <v>271216000</v>
      </c>
      <c r="C1964">
        <v>5</v>
      </c>
    </row>
    <row r="1965" spans="1:3" ht="15.75" customHeight="1" x14ac:dyDescent="0.15">
      <c r="A1965">
        <v>411</v>
      </c>
      <c r="B1965">
        <v>271221000</v>
      </c>
      <c r="C1965">
        <v>9</v>
      </c>
    </row>
    <row r="1966" spans="1:3" ht="15.75" customHeight="1" x14ac:dyDescent="0.15">
      <c r="A1966">
        <v>411</v>
      </c>
      <c r="B1966">
        <v>271226000</v>
      </c>
      <c r="C1966">
        <v>3</v>
      </c>
    </row>
    <row r="1967" spans="1:3" ht="15.75" customHeight="1" x14ac:dyDescent="0.15">
      <c r="A1967">
        <v>411</v>
      </c>
      <c r="B1967">
        <v>271301000</v>
      </c>
      <c r="C1967">
        <v>1</v>
      </c>
    </row>
    <row r="1968" spans="1:3" ht="15.75" customHeight="1" x14ac:dyDescent="0.15">
      <c r="A1968">
        <v>417</v>
      </c>
      <c r="B1968">
        <v>270710000</v>
      </c>
      <c r="C1968">
        <v>2</v>
      </c>
    </row>
    <row r="1969" spans="1:3" ht="15.75" customHeight="1" x14ac:dyDescent="0.15">
      <c r="A1969">
        <v>417</v>
      </c>
      <c r="B1969">
        <v>270810000</v>
      </c>
      <c r="C1969">
        <v>1</v>
      </c>
    </row>
    <row r="1970" spans="1:3" ht="15.75" customHeight="1" x14ac:dyDescent="0.15">
      <c r="A1970">
        <v>417</v>
      </c>
      <c r="B1970">
        <v>270910000</v>
      </c>
      <c r="C1970">
        <v>1</v>
      </c>
    </row>
    <row r="1971" spans="1:3" ht="15.75" customHeight="1" x14ac:dyDescent="0.15">
      <c r="A1971">
        <v>417</v>
      </c>
      <c r="B1971">
        <v>271006000</v>
      </c>
      <c r="C1971">
        <v>1</v>
      </c>
    </row>
    <row r="1972" spans="1:3" ht="15.75" customHeight="1" x14ac:dyDescent="0.15">
      <c r="A1972">
        <v>417</v>
      </c>
      <c r="B1972">
        <v>271059000</v>
      </c>
      <c r="C1972">
        <v>2</v>
      </c>
    </row>
    <row r="1973" spans="1:3" ht="15.75" customHeight="1" x14ac:dyDescent="0.15">
      <c r="A1973">
        <v>417</v>
      </c>
      <c r="B1973">
        <v>271074000</v>
      </c>
      <c r="C1973">
        <v>1</v>
      </c>
    </row>
    <row r="1974" spans="1:3" ht="15.75" customHeight="1" x14ac:dyDescent="0.15">
      <c r="A1974">
        <v>417</v>
      </c>
      <c r="B1974">
        <v>271221000</v>
      </c>
      <c r="C1974">
        <v>1</v>
      </c>
    </row>
    <row r="1975" spans="1:3" ht="15.75" customHeight="1" x14ac:dyDescent="0.15">
      <c r="A1975">
        <v>417</v>
      </c>
      <c r="B1975">
        <v>271226000</v>
      </c>
      <c r="C1975">
        <v>3</v>
      </c>
    </row>
    <row r="1976" spans="1:3" ht="15.75" customHeight="1" x14ac:dyDescent="0.15">
      <c r="A1976">
        <v>417</v>
      </c>
      <c r="B1976">
        <v>271301000</v>
      </c>
      <c r="C1976">
        <v>1</v>
      </c>
    </row>
    <row r="1977" spans="1:3" ht="15.75" customHeight="1" x14ac:dyDescent="0.15">
      <c r="A1977">
        <v>418</v>
      </c>
      <c r="B1977">
        <v>270140000</v>
      </c>
      <c r="C1977">
        <v>1</v>
      </c>
    </row>
    <row r="1978" spans="1:3" ht="15.75" customHeight="1" x14ac:dyDescent="0.15">
      <c r="A1978">
        <v>418</v>
      </c>
      <c r="B1978">
        <v>270316000</v>
      </c>
      <c r="C1978">
        <v>1</v>
      </c>
    </row>
    <row r="1979" spans="1:3" ht="15.75" customHeight="1" x14ac:dyDescent="0.15">
      <c r="A1979">
        <v>418</v>
      </c>
      <c r="B1979">
        <v>270328000</v>
      </c>
      <c r="C1979">
        <v>4</v>
      </c>
    </row>
    <row r="1980" spans="1:3" ht="15.75" customHeight="1" x14ac:dyDescent="0.15">
      <c r="A1980">
        <v>418</v>
      </c>
      <c r="B1980">
        <v>270330000</v>
      </c>
      <c r="C1980">
        <v>1</v>
      </c>
    </row>
    <row r="1981" spans="1:3" ht="15.75" customHeight="1" x14ac:dyDescent="0.15">
      <c r="A1981">
        <v>418</v>
      </c>
      <c r="B1981">
        <v>270710000</v>
      </c>
      <c r="C1981">
        <v>1</v>
      </c>
    </row>
    <row r="1982" spans="1:3" ht="15.75" customHeight="1" x14ac:dyDescent="0.15">
      <c r="A1982">
        <v>418</v>
      </c>
      <c r="B1982">
        <v>270716000</v>
      </c>
      <c r="C1982">
        <v>1</v>
      </c>
    </row>
    <row r="1983" spans="1:3" ht="15.75" customHeight="1" x14ac:dyDescent="0.15">
      <c r="A1983">
        <v>418</v>
      </c>
      <c r="B1983">
        <v>270926000</v>
      </c>
      <c r="C1983">
        <v>1</v>
      </c>
    </row>
    <row r="1984" spans="1:3" ht="15.75" customHeight="1" x14ac:dyDescent="0.15">
      <c r="A1984">
        <v>418</v>
      </c>
      <c r="B1984">
        <v>271010000</v>
      </c>
      <c r="C1984">
        <v>1</v>
      </c>
    </row>
    <row r="1985" spans="1:3" ht="15.75" customHeight="1" x14ac:dyDescent="0.15">
      <c r="A1985">
        <v>418</v>
      </c>
      <c r="B1985">
        <v>271059000</v>
      </c>
      <c r="C1985">
        <v>2</v>
      </c>
    </row>
    <row r="1986" spans="1:3" ht="15.75" customHeight="1" x14ac:dyDescent="0.15">
      <c r="A1986">
        <v>418</v>
      </c>
      <c r="B1986">
        <v>271074000</v>
      </c>
      <c r="C1986">
        <v>1</v>
      </c>
    </row>
    <row r="1987" spans="1:3" ht="15.75" customHeight="1" x14ac:dyDescent="0.15">
      <c r="A1987">
        <v>418</v>
      </c>
      <c r="B1987">
        <v>271216000</v>
      </c>
      <c r="C1987">
        <v>1</v>
      </c>
    </row>
    <row r="1988" spans="1:3" ht="15.75" customHeight="1" x14ac:dyDescent="0.15">
      <c r="A1988">
        <v>418</v>
      </c>
      <c r="B1988">
        <v>271221000</v>
      </c>
      <c r="C1988">
        <v>2</v>
      </c>
    </row>
    <row r="1989" spans="1:3" ht="15.75" customHeight="1" x14ac:dyDescent="0.15">
      <c r="A1989">
        <v>418</v>
      </c>
      <c r="B1989">
        <v>271223000</v>
      </c>
      <c r="C1989">
        <v>1</v>
      </c>
    </row>
    <row r="1990" spans="1:3" ht="15.75" customHeight="1" x14ac:dyDescent="0.15">
      <c r="A1990">
        <v>418</v>
      </c>
      <c r="B1990">
        <v>271226000</v>
      </c>
      <c r="C1990">
        <v>3</v>
      </c>
    </row>
  </sheetData>
  <autoFilter ref="A1:C2138" xr:uid="{00000000-0009-0000-0000-000000000000}"/>
  <customSheetViews>
    <customSheetView guid="{19C366F6-6D3E-41EA-9834-0071E809495E}" filter="1" showAutoFilter="1">
      <pageMargins left="0.7" right="0.7" top="0.75" bottom="0.75" header="0.3" footer="0.3"/>
      <autoFilter ref="A1:V1378" xr:uid="{40C5944E-3351-1B4B-86B1-4FE900566B05}"/>
      <extLst>
        <ext uri="GoogleSheetsCustomDataVersion1">
          <go:sheetsCustomData xmlns:go="http://customooxmlschemas.google.com/" filterViewId="867375378"/>
        </ext>
      </extLst>
    </customSheetView>
  </customSheetView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V50"/>
  <sheetViews>
    <sheetView tabSelected="1" zoomScale="96" zoomScaleNormal="96" workbookViewId="0">
      <selection activeCell="L49" sqref="L49"/>
    </sheetView>
  </sheetViews>
  <sheetFormatPr baseColWidth="10" defaultColWidth="11.5" defaultRowHeight="13" x14ac:dyDescent="0.15"/>
  <cols>
    <col min="1" max="1" width="15" customWidth="1"/>
    <col min="2" max="2" width="20.5" customWidth="1"/>
    <col min="3" max="3" width="16" customWidth="1"/>
    <col min="4" max="4" width="13.1640625" customWidth="1"/>
    <col min="5" max="7" width="14.33203125" customWidth="1"/>
    <col min="8" max="8" width="12.5" bestFit="1" customWidth="1"/>
    <col min="9" max="9" width="12.6640625" bestFit="1" customWidth="1"/>
    <col min="10" max="10" width="16.1640625" bestFit="1" customWidth="1"/>
    <col min="11" max="11" width="10.1640625" bestFit="1" customWidth="1"/>
    <col min="12" max="12" width="21" bestFit="1" customWidth="1"/>
    <col min="13" max="13" width="11.1640625" bestFit="1" customWidth="1"/>
    <col min="14" max="14" width="21.33203125" bestFit="1" customWidth="1"/>
    <col min="15" max="15" width="12.5" bestFit="1" customWidth="1"/>
    <col min="16" max="16" width="21.33203125" bestFit="1" customWidth="1"/>
    <col min="17" max="17" width="10.83203125" customWidth="1"/>
    <col min="18" max="18" width="21.5" bestFit="1" customWidth="1"/>
    <col min="19" max="19" width="13.33203125" customWidth="1"/>
    <col min="20" max="20" width="11" customWidth="1"/>
    <col min="21" max="21" width="12.83203125" bestFit="1" customWidth="1"/>
    <col min="22" max="22" width="11.1640625" bestFit="1" customWidth="1"/>
    <col min="23" max="23" width="41.83203125" bestFit="1" customWidth="1"/>
    <col min="24" max="24" width="29.1640625" bestFit="1" customWidth="1"/>
    <col min="25" max="25" width="26" bestFit="1" customWidth="1"/>
    <col min="26" max="26" width="35.5" bestFit="1" customWidth="1"/>
    <col min="27" max="27" width="19.5" bestFit="1" customWidth="1"/>
    <col min="28" max="28" width="13.5" bestFit="1" customWidth="1"/>
    <col min="29" max="29" width="25.1640625" bestFit="1" customWidth="1"/>
    <col min="30" max="30" width="35.83203125" bestFit="1" customWidth="1"/>
    <col min="31" max="31" width="28.5" bestFit="1" customWidth="1"/>
    <col min="32" max="32" width="26.6640625" bestFit="1" customWidth="1"/>
    <col min="33" max="33" width="19.33203125" bestFit="1" customWidth="1"/>
    <col min="34" max="34" width="24.6640625" bestFit="1" customWidth="1"/>
    <col min="35" max="35" width="17.33203125" bestFit="1" customWidth="1"/>
    <col min="36" max="36" width="25.1640625" bestFit="1" customWidth="1"/>
    <col min="37" max="37" width="28.5" bestFit="1" customWidth="1"/>
    <col min="38" max="38" width="27.33203125" bestFit="1" customWidth="1"/>
    <col min="39" max="39" width="31.33203125" bestFit="1" customWidth="1"/>
    <col min="40" max="40" width="37.5" bestFit="1" customWidth="1"/>
    <col min="41" max="41" width="35.5" bestFit="1" customWidth="1"/>
    <col min="42" max="42" width="48.1640625" bestFit="1" customWidth="1"/>
    <col min="43" max="43" width="21.83203125" bestFit="1" customWidth="1"/>
    <col min="44" max="44" width="26" bestFit="1" customWidth="1"/>
    <col min="45" max="45" width="30.33203125" bestFit="1" customWidth="1"/>
    <col min="46" max="46" width="40.6640625" bestFit="1" customWidth="1"/>
    <col min="47" max="47" width="28.1640625" bestFit="1" customWidth="1"/>
    <col min="48" max="48" width="25.6640625" bestFit="1" customWidth="1"/>
    <col min="49" max="49" width="45.1640625" bestFit="1" customWidth="1"/>
    <col min="50" max="50" width="28" bestFit="1" customWidth="1"/>
    <col min="51" max="51" width="32.83203125" bestFit="1" customWidth="1"/>
    <col min="52" max="52" width="16.5" bestFit="1" customWidth="1"/>
    <col min="53" max="53" width="27.5" bestFit="1" customWidth="1"/>
    <col min="54" max="54" width="34.6640625" bestFit="1" customWidth="1"/>
    <col min="55" max="55" width="46" bestFit="1" customWidth="1"/>
    <col min="56" max="56" width="17.6640625" bestFit="1" customWidth="1"/>
    <col min="57" max="57" width="29.5" bestFit="1" customWidth="1"/>
    <col min="58" max="58" width="33.83203125" bestFit="1" customWidth="1"/>
    <col min="59" max="59" width="24.83203125" bestFit="1" customWidth="1"/>
    <col min="60" max="60" width="23.33203125" bestFit="1" customWidth="1"/>
    <col min="61" max="61" width="27.6640625" bestFit="1" customWidth="1"/>
    <col min="62" max="62" width="24.33203125" bestFit="1" customWidth="1"/>
    <col min="63" max="63" width="38.5" bestFit="1" customWidth="1"/>
    <col min="64" max="64" width="40.33203125" bestFit="1" customWidth="1"/>
    <col min="65" max="65" width="28.5" bestFit="1" customWidth="1"/>
    <col min="66" max="66" width="24.83203125" bestFit="1" customWidth="1"/>
    <col min="67" max="67" width="19.6640625" bestFit="1" customWidth="1"/>
    <col min="68" max="68" width="14.5" bestFit="1" customWidth="1"/>
    <col min="69" max="69" width="29" bestFit="1" customWidth="1"/>
    <col min="70" max="70" width="25" bestFit="1" customWidth="1"/>
    <col min="71" max="71" width="15.5" bestFit="1" customWidth="1"/>
    <col min="72" max="72" width="32.6640625" bestFit="1" customWidth="1"/>
    <col min="73" max="73" width="32.83203125" bestFit="1" customWidth="1"/>
    <col min="74" max="74" width="40.6640625" bestFit="1" customWidth="1"/>
    <col min="75" max="75" width="30.5" bestFit="1" customWidth="1"/>
    <col min="76" max="76" width="37.6640625" bestFit="1" customWidth="1"/>
    <col min="77" max="77" width="23.1640625" bestFit="1" customWidth="1"/>
    <col min="78" max="78" width="25" bestFit="1" customWidth="1"/>
    <col min="79" max="79" width="21.6640625" bestFit="1" customWidth="1"/>
    <col min="80" max="80" width="29.5" bestFit="1" customWidth="1"/>
    <col min="81" max="81" width="25.5" bestFit="1" customWidth="1"/>
    <col min="82" max="82" width="39.83203125" bestFit="1" customWidth="1"/>
    <col min="83" max="83" width="28.5" bestFit="1" customWidth="1"/>
    <col min="84" max="84" width="27.5" bestFit="1" customWidth="1"/>
    <col min="85" max="85" width="22.6640625" bestFit="1" customWidth="1"/>
    <col min="86" max="86" width="23.6640625" bestFit="1" customWidth="1"/>
    <col min="87" max="87" width="12.33203125" bestFit="1" customWidth="1"/>
    <col min="88" max="88" width="24.33203125" bestFit="1" customWidth="1"/>
    <col min="89" max="89" width="31" bestFit="1" customWidth="1"/>
    <col min="90" max="90" width="22" bestFit="1" customWidth="1"/>
    <col min="91" max="91" width="27.5" bestFit="1" customWidth="1"/>
    <col min="92" max="92" width="16.1640625" bestFit="1" customWidth="1"/>
    <col min="93" max="93" width="22.1640625" bestFit="1" customWidth="1"/>
    <col min="94" max="94" width="15.5" bestFit="1" customWidth="1"/>
    <col min="95" max="95" width="33.6640625" bestFit="1" customWidth="1"/>
    <col min="96" max="96" width="21.83203125" bestFit="1" customWidth="1"/>
    <col min="97" max="97" width="26.1640625" bestFit="1" customWidth="1"/>
    <col min="98" max="98" width="34.33203125" bestFit="1" customWidth="1"/>
    <col min="99" max="99" width="20.6640625" bestFit="1" customWidth="1"/>
    <col min="100" max="100" width="39.83203125" bestFit="1" customWidth="1"/>
    <col min="101" max="101" width="22" bestFit="1" customWidth="1"/>
    <col min="102" max="102" width="27.5" bestFit="1" customWidth="1"/>
    <col min="103" max="103" width="26" bestFit="1" customWidth="1"/>
    <col min="104" max="104" width="29.33203125" bestFit="1" customWidth="1"/>
    <col min="105" max="105" width="23" bestFit="1" customWidth="1"/>
    <col min="106" max="106" width="26.1640625" bestFit="1" customWidth="1"/>
    <col min="107" max="107" width="36.33203125" bestFit="1" customWidth="1"/>
    <col min="108" max="108" width="35" bestFit="1" customWidth="1"/>
    <col min="109" max="109" width="33.6640625" bestFit="1" customWidth="1"/>
    <col min="110" max="110" width="28.33203125" bestFit="1" customWidth="1"/>
    <col min="111" max="111" width="24.1640625" bestFit="1" customWidth="1"/>
    <col min="112" max="112" width="38.33203125" bestFit="1" customWidth="1"/>
    <col min="113" max="113" width="38.6640625" bestFit="1" customWidth="1"/>
    <col min="114" max="114" width="23.6640625" bestFit="1" customWidth="1"/>
    <col min="115" max="115" width="21.5" bestFit="1" customWidth="1"/>
    <col min="116" max="116" width="27.1640625" bestFit="1" customWidth="1"/>
    <col min="117" max="117" width="18.6640625" bestFit="1" customWidth="1"/>
    <col min="118" max="118" width="19.33203125" bestFit="1" customWidth="1"/>
    <col min="119" max="119" width="32.83203125" bestFit="1" customWidth="1"/>
    <col min="120" max="120" width="38.1640625" bestFit="1" customWidth="1"/>
    <col min="121" max="121" width="18.83203125" bestFit="1" customWidth="1"/>
    <col min="122" max="122" width="26.83203125" bestFit="1" customWidth="1"/>
    <col min="123" max="123" width="26" bestFit="1" customWidth="1"/>
    <col min="124" max="124" width="15.6640625" bestFit="1" customWidth="1"/>
    <col min="125" max="125" width="13.1640625" bestFit="1" customWidth="1"/>
  </cols>
  <sheetData>
    <row r="1" spans="1:22" ht="15" x14ac:dyDescent="0.2">
      <c r="I1" s="31" t="s">
        <v>3</v>
      </c>
      <c r="J1" s="48" t="s">
        <v>28</v>
      </c>
      <c r="K1" s="13" t="s">
        <v>10</v>
      </c>
      <c r="L1" s="9" t="s">
        <v>11</v>
      </c>
      <c r="M1" s="9" t="s">
        <v>12</v>
      </c>
      <c r="N1" s="10" t="s">
        <v>13</v>
      </c>
      <c r="O1" s="10" t="s">
        <v>11</v>
      </c>
      <c r="P1" s="11" t="s">
        <v>12</v>
      </c>
      <c r="Q1" s="9" t="s">
        <v>14</v>
      </c>
      <c r="R1" s="9" t="s">
        <v>11</v>
      </c>
      <c r="S1" s="9" t="s">
        <v>12</v>
      </c>
      <c r="T1" s="10" t="s">
        <v>15</v>
      </c>
      <c r="U1" s="10" t="s">
        <v>11</v>
      </c>
      <c r="V1" s="12" t="s">
        <v>12</v>
      </c>
    </row>
    <row r="2" spans="1:22" ht="15" x14ac:dyDescent="0.2">
      <c r="G2" s="27"/>
      <c r="I2" s="57">
        <f>B3</f>
        <v>271503000</v>
      </c>
      <c r="J2" s="54" t="str">
        <f>VLOOKUP($I$2,CHOOSE({2,1},'[1]Planilla Distr. FyV Final1'!$B$2:$B$100,'[1]Planilla Distr. FyV Final1'!$C$2:$C$100),2,FALSE)</f>
        <v>03398</v>
      </c>
      <c r="K2" s="77">
        <f>VLOOKUP($I$2,'[1]Planilla Distr. FyV Final1'!$C$2:$Q$100,4,FALSE)</f>
        <v>60331</v>
      </c>
      <c r="L2" s="77">
        <f>VLOOKUP($I$2,'[1]Planilla Distr. FyV Final1'!$C$2:$Q$100,5,FALSE)</f>
        <v>70</v>
      </c>
      <c r="M2" s="77">
        <f>VLOOKUP($I$2,'[1]Planilla Distr. FyV Final1'!$C$2:$Q$100,6,FALSE)</f>
        <v>250</v>
      </c>
      <c r="N2" s="77" t="str">
        <f>VLOOKUP($I$2,'[1]Planilla Distr. FyV Final1'!$C$2:$Q$100,7,FALSE)</f>
        <v>21651</v>
      </c>
      <c r="O2" s="77" t="str">
        <f>VLOOKUP($I$2,'[1]Planilla Distr. FyV Final1'!$C$2:$Q$100,8,FALSE)</f>
        <v>30</v>
      </c>
      <c r="P2" s="77" t="str">
        <f>VLOOKUP($I$2,'[1]Planilla Distr. FyV Final1'!$C$2:$Q$100,9,FALSE)</f>
        <v>250</v>
      </c>
      <c r="Q2" s="77">
        <f>VLOOKUP($I$2,'[1]Planilla Distr. FyV Final1'!$C$2:$Q$100,10,FALSE)</f>
        <v>0</v>
      </c>
      <c r="R2" s="77">
        <f>VLOOKUP($I$2,'[1]Planilla Distr. FyV Final1'!$C$2:$Q$100,11,FALSE)</f>
        <v>0</v>
      </c>
      <c r="S2" s="77">
        <f>VLOOKUP($I$2,'[1]Planilla Distr. FyV Final1'!$C$2:$Q$100,12,FALSE)</f>
        <v>0</v>
      </c>
      <c r="T2" s="77">
        <f>VLOOKUP($I$2,'[1]Planilla Distr. FyV Final1'!$C$2:$Q$100,13,FALSE)</f>
        <v>0</v>
      </c>
      <c r="U2" s="77">
        <f>VLOOKUP($I$2,'[1]Planilla Distr. FyV Final1'!$C$2:$Q$100,14,FALSE)</f>
        <v>0</v>
      </c>
      <c r="V2" s="77">
        <f>VLOOKUP($I$2,'[1]Planilla Distr. FyV Final1'!$C$2:$Q$100,15,FALSE)</f>
        <v>0</v>
      </c>
    </row>
    <row r="3" spans="1:22" x14ac:dyDescent="0.15">
      <c r="A3" s="8" t="s">
        <v>0</v>
      </c>
      <c r="B3" s="65">
        <v>271503000</v>
      </c>
    </row>
    <row r="5" spans="1:22" ht="16" x14ac:dyDescent="0.2">
      <c r="A5" s="8" t="s">
        <v>35</v>
      </c>
      <c r="B5" t="s">
        <v>9</v>
      </c>
      <c r="C5" t="s">
        <v>21</v>
      </c>
      <c r="D5" s="14" t="s">
        <v>10</v>
      </c>
      <c r="E5" s="14" t="s">
        <v>13</v>
      </c>
      <c r="F5" s="14" t="s">
        <v>14</v>
      </c>
      <c r="G5" s="14" t="s">
        <v>15</v>
      </c>
      <c r="H5" s="26" t="s">
        <v>20</v>
      </c>
      <c r="L5" s="15" t="s">
        <v>16</v>
      </c>
      <c r="M5" s="16">
        <f>SUM(B6:B50)</f>
        <v>74</v>
      </c>
    </row>
    <row r="6" spans="1:22" x14ac:dyDescent="0.15">
      <c r="A6">
        <v>1</v>
      </c>
      <c r="B6">
        <v>1</v>
      </c>
      <c r="C6" s="18">
        <v>1.3513513513513514E-2</v>
      </c>
      <c r="D6" s="17">
        <v>0</v>
      </c>
      <c r="E6" s="17">
        <v>1</v>
      </c>
      <c r="F6" s="17">
        <v>0</v>
      </c>
      <c r="G6" s="17">
        <v>0</v>
      </c>
      <c r="H6" s="19">
        <f>SUM(D6:G6)</f>
        <v>1</v>
      </c>
    </row>
    <row r="7" spans="1:22" x14ac:dyDescent="0.15">
      <c r="A7">
        <v>4</v>
      </c>
      <c r="B7">
        <v>3</v>
      </c>
      <c r="C7" s="18">
        <v>4.0540540540540543E-2</v>
      </c>
      <c r="D7" s="17">
        <v>0</v>
      </c>
      <c r="E7" s="17">
        <v>1</v>
      </c>
      <c r="F7" s="17">
        <v>0</v>
      </c>
      <c r="G7" s="17">
        <v>0</v>
      </c>
      <c r="H7" s="19">
        <f t="shared" ref="H7:H50" si="0">SUM(D7:G7)</f>
        <v>1</v>
      </c>
    </row>
    <row r="8" spans="1:22" x14ac:dyDescent="0.15">
      <c r="A8">
        <v>7</v>
      </c>
      <c r="B8">
        <v>2</v>
      </c>
      <c r="C8" s="18">
        <v>2.7027027027027029E-2</v>
      </c>
      <c r="D8" s="17">
        <v>0</v>
      </c>
      <c r="E8" s="17">
        <v>1</v>
      </c>
      <c r="F8" s="17">
        <v>0</v>
      </c>
      <c r="G8" s="17">
        <v>0</v>
      </c>
      <c r="H8" s="19">
        <f t="shared" si="0"/>
        <v>1</v>
      </c>
      <c r="L8" s="5" t="s">
        <v>6</v>
      </c>
      <c r="M8" s="6">
        <f>SUMPRODUCT(B6:B50,D6:D50)</f>
        <v>52</v>
      </c>
      <c r="N8" s="5" t="s">
        <v>6</v>
      </c>
      <c r="O8" s="6">
        <f>SUMPRODUCT(B6:B50,E6:E50)</f>
        <v>22</v>
      </c>
      <c r="P8" s="5" t="s">
        <v>6</v>
      </c>
      <c r="Q8" s="6">
        <f>SUMPRODUCT(B6:B50,F6:F50)</f>
        <v>0</v>
      </c>
      <c r="R8" s="5" t="s">
        <v>6</v>
      </c>
      <c r="S8" s="6">
        <f>SUMPRODUCT(B6:B50,G6:G50)</f>
        <v>0</v>
      </c>
    </row>
    <row r="9" spans="1:22" x14ac:dyDescent="0.15">
      <c r="A9">
        <v>8</v>
      </c>
      <c r="B9">
        <v>1</v>
      </c>
      <c r="C9" s="18">
        <v>1.3513513513513514E-2</v>
      </c>
      <c r="D9" s="17">
        <v>0</v>
      </c>
      <c r="E9" s="17">
        <v>1</v>
      </c>
      <c r="F9" s="17">
        <v>0</v>
      </c>
      <c r="G9" s="17">
        <v>0</v>
      </c>
      <c r="H9" s="19">
        <f t="shared" si="0"/>
        <v>1</v>
      </c>
      <c r="L9" s="3" t="s">
        <v>7</v>
      </c>
      <c r="M9" s="66">
        <f>SUMPRODUCT(C6:C50,D6:D50)*100</f>
        <v>70.27027027027026</v>
      </c>
      <c r="N9" s="3" t="s">
        <v>7</v>
      </c>
      <c r="O9" s="7">
        <f>SUMPRODUCT(C6:C50,E6:E50*100)</f>
        <v>29.729729729729723</v>
      </c>
      <c r="P9" s="3" t="s">
        <v>7</v>
      </c>
      <c r="Q9" s="7">
        <f>SUMPRODUCT(C6:C50,F6:F50)*100</f>
        <v>0</v>
      </c>
      <c r="R9" s="3" t="s">
        <v>7</v>
      </c>
      <c r="S9" s="7">
        <f>SUMPRODUCT(C6:C50,G6:G50)*100</f>
        <v>0</v>
      </c>
      <c r="T9" s="25" t="s">
        <v>19</v>
      </c>
    </row>
    <row r="10" spans="1:22" x14ac:dyDescent="0.15">
      <c r="A10">
        <v>15</v>
      </c>
      <c r="B10">
        <v>2</v>
      </c>
      <c r="C10" s="18">
        <v>2.7027027027027029E-2</v>
      </c>
      <c r="D10" s="17">
        <v>0</v>
      </c>
      <c r="E10" s="17">
        <v>1</v>
      </c>
      <c r="F10" s="17">
        <v>0</v>
      </c>
      <c r="G10" s="17">
        <v>0</v>
      </c>
      <c r="H10" s="19">
        <f t="shared" si="0"/>
        <v>1</v>
      </c>
      <c r="L10" s="20" t="s">
        <v>5</v>
      </c>
      <c r="M10" s="21">
        <f>ABS(L2-M9)</f>
        <v>0.27027027027025952</v>
      </c>
      <c r="N10" s="22" t="s">
        <v>8</v>
      </c>
      <c r="O10" s="21">
        <f>ABS(O2-O9)</f>
        <v>0.27027027027027728</v>
      </c>
      <c r="P10" s="23" t="s">
        <v>17</v>
      </c>
      <c r="Q10" s="21">
        <f>ABS(R2-Q9)</f>
        <v>0</v>
      </c>
      <c r="R10" s="23" t="s">
        <v>18</v>
      </c>
      <c r="S10" s="21">
        <f>ABS(U2-S9)</f>
        <v>0</v>
      </c>
      <c r="T10" s="24">
        <f>M10+O10+Q10+S10</f>
        <v>0.5405405405405368</v>
      </c>
    </row>
    <row r="11" spans="1:22" x14ac:dyDescent="0.15">
      <c r="A11">
        <v>27</v>
      </c>
      <c r="B11">
        <v>1</v>
      </c>
      <c r="C11" s="18">
        <v>1.3513513513513514E-2</v>
      </c>
      <c r="D11" s="17">
        <v>0</v>
      </c>
      <c r="E11" s="17">
        <v>1</v>
      </c>
      <c r="F11" s="17">
        <v>0</v>
      </c>
      <c r="G11" s="17">
        <v>0</v>
      </c>
      <c r="H11" s="19">
        <f t="shared" si="0"/>
        <v>1</v>
      </c>
    </row>
    <row r="12" spans="1:22" x14ac:dyDescent="0.15">
      <c r="A12">
        <v>32</v>
      </c>
      <c r="B12">
        <v>2</v>
      </c>
      <c r="C12" s="18">
        <v>2.7027027027027029E-2</v>
      </c>
      <c r="D12" s="17">
        <v>0</v>
      </c>
      <c r="E12" s="17">
        <v>1</v>
      </c>
      <c r="F12" s="17">
        <v>0</v>
      </c>
      <c r="G12" s="17">
        <v>0</v>
      </c>
      <c r="H12" s="19">
        <f t="shared" si="0"/>
        <v>1</v>
      </c>
      <c r="N12" s="67" t="s">
        <v>34</v>
      </c>
      <c r="P12" s="67" t="s">
        <v>36</v>
      </c>
    </row>
    <row r="13" spans="1:22" x14ac:dyDescent="0.15">
      <c r="A13">
        <v>49</v>
      </c>
      <c r="B13">
        <v>1</v>
      </c>
      <c r="C13" s="18">
        <v>1.3513513513513514E-2</v>
      </c>
      <c r="D13" s="17">
        <v>0</v>
      </c>
      <c r="E13" s="17">
        <v>1</v>
      </c>
      <c r="F13" s="17">
        <v>0</v>
      </c>
      <c r="G13" s="17">
        <v>0</v>
      </c>
      <c r="H13" s="19">
        <f t="shared" si="0"/>
        <v>1</v>
      </c>
      <c r="N13" s="68">
        <f>MIN($T$10)</f>
        <v>0.5405405405405368</v>
      </c>
      <c r="P13" s="68">
        <f>MIN($T$10)</f>
        <v>0.5405405405405368</v>
      </c>
    </row>
    <row r="14" spans="1:22" x14ac:dyDescent="0.15">
      <c r="A14">
        <v>59</v>
      </c>
      <c r="B14">
        <v>1</v>
      </c>
      <c r="C14" s="18">
        <v>1.3513513513513514E-2</v>
      </c>
      <c r="D14" s="17">
        <v>0</v>
      </c>
      <c r="E14" s="17">
        <v>1</v>
      </c>
      <c r="F14" s="17">
        <v>0</v>
      </c>
      <c r="G14" s="17">
        <v>0</v>
      </c>
      <c r="H14" s="19">
        <f t="shared" si="0"/>
        <v>1</v>
      </c>
      <c r="L14" s="70" t="s">
        <v>29</v>
      </c>
      <c r="N14" s="67">
        <f>COUNT($D$6:$G$50)</f>
        <v>180</v>
      </c>
      <c r="P14" s="69">
        <f>COUNT($D$6:$G$50)</f>
        <v>180</v>
      </c>
    </row>
    <row r="15" spans="1:22" x14ac:dyDescent="0.15">
      <c r="A15">
        <v>305</v>
      </c>
      <c r="B15">
        <v>1</v>
      </c>
      <c r="C15" s="18">
        <v>1.3513513513513514E-2</v>
      </c>
      <c r="D15" s="17">
        <v>0</v>
      </c>
      <c r="E15" s="17">
        <v>1</v>
      </c>
      <c r="F15" s="17">
        <v>0</v>
      </c>
      <c r="G15" s="17">
        <v>0</v>
      </c>
      <c r="H15" s="19">
        <f t="shared" si="0"/>
        <v>1</v>
      </c>
      <c r="L15" s="71">
        <f>$M$2-$M$8</f>
        <v>198</v>
      </c>
      <c r="M15" s="27" t="s">
        <v>30</v>
      </c>
      <c r="N15" s="69" t="e">
        <f>($D$6:$G$50=0)+($D$6:$G$50=1)=1</f>
        <v>#VALUE!</v>
      </c>
      <c r="P15" s="69" t="e">
        <f>($D$6:$G$50=0)+($D$6:$G$50=1)=1</f>
        <v>#VALUE!</v>
      </c>
    </row>
    <row r="16" spans="1:22" x14ac:dyDescent="0.15">
      <c r="A16">
        <v>307</v>
      </c>
      <c r="B16">
        <v>1</v>
      </c>
      <c r="C16" s="18">
        <v>1.3513513513513514E-2</v>
      </c>
      <c r="D16" s="17">
        <v>0</v>
      </c>
      <c r="E16" s="17">
        <v>1</v>
      </c>
      <c r="F16" s="17">
        <v>0</v>
      </c>
      <c r="G16" s="17">
        <v>0</v>
      </c>
      <c r="H16" s="19">
        <f t="shared" si="0"/>
        <v>1</v>
      </c>
      <c r="L16" s="71">
        <f>$P$2-$O$8</f>
        <v>228</v>
      </c>
      <c r="M16" s="27" t="s">
        <v>31</v>
      </c>
      <c r="N16" s="69" t="b">
        <f t="array" ref="N16">$H$6:$H$50&lt;=1</f>
        <v>1</v>
      </c>
      <c r="P16" s="69" t="b">
        <f t="array" ref="P16">$H$6:$H$50&lt;=1</f>
        <v>1</v>
      </c>
    </row>
    <row r="17" spans="1:18" x14ac:dyDescent="0.15">
      <c r="A17">
        <v>309</v>
      </c>
      <c r="B17">
        <v>2</v>
      </c>
      <c r="C17" s="18">
        <v>2.7027027027027029E-2</v>
      </c>
      <c r="D17" s="17">
        <v>0</v>
      </c>
      <c r="E17" s="17">
        <v>1</v>
      </c>
      <c r="F17" s="17">
        <v>0</v>
      </c>
      <c r="G17" s="17">
        <v>0</v>
      </c>
      <c r="H17" s="19">
        <f t="shared" si="0"/>
        <v>1</v>
      </c>
      <c r="I17" s="27"/>
      <c r="L17" s="71">
        <f>$S$2-$Q$8</f>
        <v>0</v>
      </c>
      <c r="M17" s="27" t="s">
        <v>32</v>
      </c>
      <c r="N17" s="69" t="b">
        <f>$M$8&lt;=$M$2</f>
        <v>1</v>
      </c>
      <c r="O17" s="27"/>
      <c r="P17" s="69" t="b">
        <f>$L$15&gt;=0</f>
        <v>1</v>
      </c>
    </row>
    <row r="18" spans="1:18" x14ac:dyDescent="0.15">
      <c r="A18">
        <v>312</v>
      </c>
      <c r="B18">
        <v>3</v>
      </c>
      <c r="C18" s="18">
        <v>4.0540540540540543E-2</v>
      </c>
      <c r="D18" s="17">
        <v>0</v>
      </c>
      <c r="E18" s="17">
        <v>1</v>
      </c>
      <c r="F18" s="17">
        <v>0</v>
      </c>
      <c r="G18" s="17">
        <v>0</v>
      </c>
      <c r="H18" s="19">
        <f t="shared" si="0"/>
        <v>1</v>
      </c>
      <c r="L18" s="71">
        <f>$V$2-$S$8</f>
        <v>0</v>
      </c>
      <c r="M18" s="27" t="s">
        <v>33</v>
      </c>
      <c r="N18" s="69" t="b">
        <f>$O$8&lt;=$P$2</f>
        <v>1</v>
      </c>
      <c r="P18" s="67" t="b">
        <f>$L$16&gt;=0</f>
        <v>1</v>
      </c>
    </row>
    <row r="19" spans="1:18" x14ac:dyDescent="0.15">
      <c r="A19">
        <v>322</v>
      </c>
      <c r="B19">
        <v>1</v>
      </c>
      <c r="C19" s="18">
        <v>1.3513513513513514E-2</v>
      </c>
      <c r="D19" s="17">
        <v>0</v>
      </c>
      <c r="E19" s="17">
        <v>1</v>
      </c>
      <c r="F19" s="17">
        <v>0</v>
      </c>
      <c r="G19" s="17">
        <v>0</v>
      </c>
      <c r="H19" s="19">
        <f t="shared" si="0"/>
        <v>1</v>
      </c>
      <c r="N19" s="69" t="b">
        <f>$Q$8&lt;=$S$2</f>
        <v>1</v>
      </c>
      <c r="P19" s="69" t="b">
        <f>$L$17&gt;=0</f>
        <v>1</v>
      </c>
    </row>
    <row r="20" spans="1:18" x14ac:dyDescent="0.15">
      <c r="A20">
        <v>329</v>
      </c>
      <c r="B20">
        <v>1</v>
      </c>
      <c r="C20" s="18">
        <v>1.3513513513513514E-2</v>
      </c>
      <c r="D20" s="17">
        <v>1</v>
      </c>
      <c r="E20" s="17">
        <v>0</v>
      </c>
      <c r="F20" s="17">
        <v>0</v>
      </c>
      <c r="G20" s="17">
        <v>0</v>
      </c>
      <c r="H20" s="19">
        <f t="shared" si="0"/>
        <v>1</v>
      </c>
      <c r="N20" s="69" t="b">
        <f>$S$8&lt;=$V$2</f>
        <v>1</v>
      </c>
      <c r="P20" s="69" t="b">
        <f>$L$18&gt;=0</f>
        <v>1</v>
      </c>
    </row>
    <row r="21" spans="1:18" x14ac:dyDescent="0.15">
      <c r="A21">
        <v>403</v>
      </c>
      <c r="B21">
        <v>1</v>
      </c>
      <c r="C21" s="18">
        <v>1.3513513513513514E-2</v>
      </c>
      <c r="D21" s="17">
        <v>1</v>
      </c>
      <c r="E21" s="17">
        <v>0</v>
      </c>
      <c r="F21" s="17">
        <v>0</v>
      </c>
      <c r="G21" s="17">
        <v>0</v>
      </c>
      <c r="H21" s="19">
        <f t="shared" si="0"/>
        <v>1</v>
      </c>
      <c r="N21" s="69" t="b">
        <f>$T$10&gt;=0</f>
        <v>1</v>
      </c>
      <c r="P21" s="69" t="b">
        <f>$T$10&gt;=0</f>
        <v>1</v>
      </c>
    </row>
    <row r="22" spans="1:18" x14ac:dyDescent="0.15">
      <c r="A22">
        <v>3</v>
      </c>
      <c r="B22">
        <v>4</v>
      </c>
      <c r="C22" s="18">
        <v>5.4054054054054057E-2</v>
      </c>
      <c r="D22" s="17">
        <v>1</v>
      </c>
      <c r="E22" s="17">
        <v>0</v>
      </c>
      <c r="F22" s="17">
        <v>0</v>
      </c>
      <c r="G22" s="17">
        <v>0</v>
      </c>
      <c r="H22" s="19">
        <f t="shared" si="0"/>
        <v>1</v>
      </c>
      <c r="N22" s="69">
        <f>{180;32767;0.000001;0.00001;FALSE;FALSE;FALSE;1;1;1;0.0001;TRUE}</f>
        <v>180</v>
      </c>
      <c r="P22" s="69">
        <f>{180;32767;0.001;0.00001;FALSE;FALSE;FALSE;1;1;1;0.0001;TRUE}</f>
        <v>180</v>
      </c>
    </row>
    <row r="23" spans="1:18" x14ac:dyDescent="0.15">
      <c r="A23">
        <v>11</v>
      </c>
      <c r="B23">
        <v>5</v>
      </c>
      <c r="C23" s="18">
        <v>6.7567567567567571E-2</v>
      </c>
      <c r="D23" s="17">
        <v>1</v>
      </c>
      <c r="E23" s="17">
        <v>0</v>
      </c>
      <c r="F23" s="17">
        <v>0</v>
      </c>
      <c r="G23" s="17">
        <v>0</v>
      </c>
      <c r="H23" s="19">
        <f t="shared" si="0"/>
        <v>1</v>
      </c>
      <c r="N23" s="69">
        <f>{180;0;3;0;0;FALSE;FALSE;0.075;0;0;FALSE;12}</f>
        <v>180</v>
      </c>
      <c r="P23" s="69">
        <f>{180;0;3;0;1;FALSE;FALSE;0.075;0;0;FALSE;12}</f>
        <v>180</v>
      </c>
    </row>
    <row r="24" spans="1:18" x14ac:dyDescent="0.15">
      <c r="A24">
        <v>17</v>
      </c>
      <c r="B24">
        <v>1</v>
      </c>
      <c r="C24" s="18">
        <v>1.3513513513513514E-2</v>
      </c>
      <c r="D24" s="17">
        <v>1</v>
      </c>
      <c r="E24" s="17">
        <v>0</v>
      </c>
      <c r="F24" s="17">
        <v>0</v>
      </c>
      <c r="G24" s="17">
        <v>0</v>
      </c>
      <c r="H24" s="19">
        <f t="shared" si="0"/>
        <v>1</v>
      </c>
    </row>
    <row r="25" spans="1:18" x14ac:dyDescent="0.15">
      <c r="A25">
        <v>25</v>
      </c>
      <c r="B25">
        <v>3</v>
      </c>
      <c r="C25" s="18">
        <v>4.0540540540540543E-2</v>
      </c>
      <c r="D25" s="17">
        <v>1</v>
      </c>
      <c r="E25" s="17">
        <v>0</v>
      </c>
      <c r="F25" s="17">
        <v>0</v>
      </c>
      <c r="G25" s="17">
        <v>0</v>
      </c>
      <c r="H25" s="19">
        <f t="shared" si="0"/>
        <v>1</v>
      </c>
      <c r="N25" s="72" t="s">
        <v>37</v>
      </c>
      <c r="P25" s="72" t="s">
        <v>38</v>
      </c>
      <c r="R25" s="75">
        <f>MIN($T$10)</f>
        <v>0.5405405405405368</v>
      </c>
    </row>
    <row r="26" spans="1:18" x14ac:dyDescent="0.15">
      <c r="A26">
        <v>34</v>
      </c>
      <c r="B26">
        <v>6</v>
      </c>
      <c r="C26" s="18">
        <v>8.1081081081081086E-2</v>
      </c>
      <c r="D26" s="17">
        <v>1</v>
      </c>
      <c r="E26" s="17">
        <v>0</v>
      </c>
      <c r="F26" s="17">
        <v>0</v>
      </c>
      <c r="G26" s="17">
        <v>0</v>
      </c>
      <c r="H26" s="19">
        <f t="shared" si="0"/>
        <v>1</v>
      </c>
      <c r="N26" s="73">
        <f>MIN($T$10)</f>
        <v>0.5405405405405368</v>
      </c>
      <c r="P26" s="73">
        <f>MIN($T$10)</f>
        <v>0.5405405405405368</v>
      </c>
      <c r="R26" s="76">
        <f>COUNT($D$6:$G$50)</f>
        <v>180</v>
      </c>
    </row>
    <row r="27" spans="1:18" x14ac:dyDescent="0.15">
      <c r="A27">
        <v>40</v>
      </c>
      <c r="B27">
        <v>2</v>
      </c>
      <c r="C27" s="18">
        <v>2.7027027027027029E-2</v>
      </c>
      <c r="D27" s="17">
        <v>1</v>
      </c>
      <c r="E27" s="17">
        <v>0</v>
      </c>
      <c r="F27" s="17">
        <v>0</v>
      </c>
      <c r="G27" s="17">
        <v>0</v>
      </c>
      <c r="H27" s="19">
        <f t="shared" si="0"/>
        <v>1</v>
      </c>
      <c r="N27" s="74">
        <f>COUNT($D$6:$G$50)</f>
        <v>180</v>
      </c>
      <c r="P27" s="74">
        <f>COUNT($D$6:$G$50)</f>
        <v>180</v>
      </c>
      <c r="R27" s="74" t="b">
        <f t="array" ref="R27">($D$6:$G$50=0)+($D$6:$G$50=1)=1</f>
        <v>1</v>
      </c>
    </row>
    <row r="28" spans="1:18" x14ac:dyDescent="0.15">
      <c r="A28">
        <v>46</v>
      </c>
      <c r="B28">
        <v>1</v>
      </c>
      <c r="C28" s="18">
        <v>1.3513513513513514E-2</v>
      </c>
      <c r="D28" s="17">
        <v>1</v>
      </c>
      <c r="E28" s="17">
        <v>0</v>
      </c>
      <c r="F28" s="17">
        <v>0</v>
      </c>
      <c r="G28" s="17">
        <v>0</v>
      </c>
      <c r="H28" s="19">
        <f t="shared" si="0"/>
        <v>1</v>
      </c>
      <c r="N28" s="74" t="b">
        <f t="array" ref="N28">$H$6:$H$50&lt;=1</f>
        <v>1</v>
      </c>
      <c r="P28" s="74" t="b">
        <f t="array" ref="P28">$H$6:$H$50&lt;=1</f>
        <v>1</v>
      </c>
      <c r="R28" s="74" t="b">
        <f t="array" ref="R28">$H$6:$H$50&lt;=1</f>
        <v>1</v>
      </c>
    </row>
    <row r="29" spans="1:18" x14ac:dyDescent="0.15">
      <c r="A29">
        <v>47</v>
      </c>
      <c r="B29">
        <v>1</v>
      </c>
      <c r="C29" s="18">
        <v>1.3513513513513514E-2</v>
      </c>
      <c r="D29" s="17">
        <v>1</v>
      </c>
      <c r="E29" s="17">
        <v>0</v>
      </c>
      <c r="F29" s="17">
        <v>0</v>
      </c>
      <c r="G29" s="17">
        <v>0</v>
      </c>
      <c r="H29" s="19">
        <f t="shared" si="0"/>
        <v>1</v>
      </c>
      <c r="N29" s="74" t="b">
        <f t="array" ref="N29">($D$6:$G$50=0)+($D$6:$G$50=1)=1</f>
        <v>1</v>
      </c>
      <c r="P29" s="74" t="b">
        <f t="array" ref="P29">($D$6:$G$50=0)+($D$6:$G$50=1)=1</f>
        <v>1</v>
      </c>
      <c r="R29" s="74" t="b">
        <f>$L$15&gt;=0</f>
        <v>1</v>
      </c>
    </row>
    <row r="30" spans="1:18" x14ac:dyDescent="0.15">
      <c r="A30">
        <v>48</v>
      </c>
      <c r="B30">
        <v>1</v>
      </c>
      <c r="C30" s="18">
        <v>1.3513513513513514E-2</v>
      </c>
      <c r="D30" s="17">
        <v>1</v>
      </c>
      <c r="E30" s="17">
        <v>0</v>
      </c>
      <c r="F30" s="17">
        <v>0</v>
      </c>
      <c r="G30" s="17">
        <v>0</v>
      </c>
      <c r="H30" s="19">
        <f t="shared" si="0"/>
        <v>1</v>
      </c>
      <c r="N30" s="74" t="b">
        <f>$M$8&lt;=$M$2</f>
        <v>1</v>
      </c>
      <c r="P30" s="74" t="b">
        <f>$L$15&gt;=0</f>
        <v>1</v>
      </c>
      <c r="R30" s="74" t="b">
        <f>$L$16&gt;=0</f>
        <v>1</v>
      </c>
    </row>
    <row r="31" spans="1:18" x14ac:dyDescent="0.15">
      <c r="A31">
        <v>52</v>
      </c>
      <c r="B31">
        <v>3</v>
      </c>
      <c r="C31" s="18">
        <v>4.0540540540540543E-2</v>
      </c>
      <c r="D31" s="17">
        <v>1</v>
      </c>
      <c r="E31" s="17">
        <v>0</v>
      </c>
      <c r="F31" s="17">
        <v>0</v>
      </c>
      <c r="G31" s="17">
        <v>0</v>
      </c>
      <c r="H31" s="19">
        <f t="shared" si="0"/>
        <v>1</v>
      </c>
      <c r="N31" s="74" t="b">
        <f>$O$8&lt;=$P$2</f>
        <v>1</v>
      </c>
      <c r="P31" s="74" t="b">
        <f>$L$16&gt;=0</f>
        <v>1</v>
      </c>
      <c r="R31" s="74" t="b">
        <f>$L$17&gt;=0</f>
        <v>1</v>
      </c>
    </row>
    <row r="32" spans="1:18" x14ac:dyDescent="0.15">
      <c r="A32">
        <v>53</v>
      </c>
      <c r="B32">
        <v>2</v>
      </c>
      <c r="C32" s="18">
        <v>2.7027027027027029E-2</v>
      </c>
      <c r="D32" s="17">
        <v>1</v>
      </c>
      <c r="E32" s="17">
        <v>0</v>
      </c>
      <c r="F32" s="17">
        <v>0</v>
      </c>
      <c r="G32" s="17">
        <v>0</v>
      </c>
      <c r="H32" s="19">
        <f t="shared" si="0"/>
        <v>1</v>
      </c>
      <c r="N32" s="74" t="b">
        <f>$Q$8&lt;=$S$2</f>
        <v>1</v>
      </c>
      <c r="P32" s="74" t="b">
        <f>$L$17&gt;=0</f>
        <v>1</v>
      </c>
      <c r="R32" s="74" t="b">
        <f>$L$18&gt;=0</f>
        <v>1</v>
      </c>
    </row>
    <row r="33" spans="1:18" x14ac:dyDescent="0.15">
      <c r="A33">
        <v>56</v>
      </c>
      <c r="B33">
        <v>4</v>
      </c>
      <c r="C33" s="18">
        <v>5.4054054054054057E-2</v>
      </c>
      <c r="D33" s="17">
        <v>1</v>
      </c>
      <c r="E33" s="17">
        <v>0</v>
      </c>
      <c r="F33" s="17">
        <v>0</v>
      </c>
      <c r="G33" s="17">
        <v>0</v>
      </c>
      <c r="H33" s="19">
        <f t="shared" si="0"/>
        <v>1</v>
      </c>
      <c r="N33" s="74" t="b">
        <f>$S$8&lt;=$V$2</f>
        <v>1</v>
      </c>
      <c r="P33" s="74" t="b">
        <f>$L$18&gt;=0</f>
        <v>1</v>
      </c>
      <c r="R33" s="74" t="b">
        <f>$T$10&gt;=0</f>
        <v>1</v>
      </c>
    </row>
    <row r="34" spans="1:18" x14ac:dyDescent="0.15">
      <c r="A34">
        <v>60</v>
      </c>
      <c r="B34">
        <v>2</v>
      </c>
      <c r="C34" s="18">
        <v>2.7027027027027029E-2</v>
      </c>
      <c r="D34" s="17">
        <v>1</v>
      </c>
      <c r="E34" s="17">
        <v>0</v>
      </c>
      <c r="F34" s="17">
        <v>0</v>
      </c>
      <c r="G34" s="17">
        <v>0</v>
      </c>
      <c r="H34" s="19">
        <f t="shared" si="0"/>
        <v>1</v>
      </c>
      <c r="N34" s="74" t="b">
        <f>$T$10&gt;=0</f>
        <v>1</v>
      </c>
      <c r="P34" s="74" t="b">
        <f>$T$10&gt;=0</f>
        <v>1</v>
      </c>
      <c r="R34" s="74">
        <f>{180;32767;0.001;0.00001;FALSE;FALSE;FALSE;1;1;1;0.0001;TRUE}</f>
        <v>180</v>
      </c>
    </row>
    <row r="35" spans="1:18" x14ac:dyDescent="0.15">
      <c r="A35">
        <v>61</v>
      </c>
      <c r="B35">
        <v>3</v>
      </c>
      <c r="C35" s="18">
        <v>4.0540540540540543E-2</v>
      </c>
      <c r="D35" s="17">
        <v>1</v>
      </c>
      <c r="E35" s="17">
        <v>0</v>
      </c>
      <c r="F35" s="17">
        <v>0</v>
      </c>
      <c r="G35" s="17">
        <v>0</v>
      </c>
      <c r="H35" s="19">
        <f t="shared" si="0"/>
        <v>1</v>
      </c>
      <c r="N35" s="74">
        <f>{180;32767;0.000001;0.00001;FALSE;FALSE;FALSE;1;1;1;0.0001;TRUE}</f>
        <v>180</v>
      </c>
      <c r="P35" s="74">
        <f>{180;32767;0.001;0.00001;FALSE;FALSE;FALSE;1;1;1;0.0001;TRUE}</f>
        <v>180</v>
      </c>
      <c r="R35" s="74">
        <f>{180;0;3;0;1;FALSE;FALSE;0.075;0;0;FALSE;12}</f>
        <v>180</v>
      </c>
    </row>
    <row r="36" spans="1:18" x14ac:dyDescent="0.15">
      <c r="A36">
        <v>63</v>
      </c>
      <c r="B36">
        <v>1</v>
      </c>
      <c r="C36" s="18">
        <v>1.3513513513513514E-2</v>
      </c>
      <c r="D36" s="17">
        <v>1</v>
      </c>
      <c r="E36" s="17">
        <v>0</v>
      </c>
      <c r="F36" s="17">
        <v>0</v>
      </c>
      <c r="G36" s="17">
        <v>0</v>
      </c>
      <c r="H36" s="19">
        <f t="shared" si="0"/>
        <v>1</v>
      </c>
      <c r="N36" s="74">
        <f>{180;0;3;0;0;FALSE;FALSE;0.075;0;0;FALSE;12}</f>
        <v>180</v>
      </c>
      <c r="P36" s="74">
        <f>{180;0;3;0;1;FALSE;FALSE;0.075;0;0;FALSE;12}</f>
        <v>180</v>
      </c>
      <c r="R36" s="74">
        <f>{180;0;3;0;0;FALSE;FALSE;0.075;0;0;FALSE;12}</f>
        <v>180</v>
      </c>
    </row>
    <row r="37" spans="1:18" x14ac:dyDescent="0.15">
      <c r="A37">
        <v>301</v>
      </c>
      <c r="B37">
        <v>1</v>
      </c>
      <c r="C37" s="18">
        <v>1.3513513513513514E-2</v>
      </c>
      <c r="D37" s="17">
        <v>1</v>
      </c>
      <c r="E37" s="17">
        <v>0</v>
      </c>
      <c r="F37" s="17">
        <v>0</v>
      </c>
      <c r="G37" s="17">
        <v>0</v>
      </c>
      <c r="H37" s="19">
        <f t="shared" si="0"/>
        <v>1</v>
      </c>
    </row>
    <row r="38" spans="1:18" x14ac:dyDescent="0.15">
      <c r="A38">
        <v>315</v>
      </c>
      <c r="B38">
        <v>2</v>
      </c>
      <c r="C38" s="18">
        <v>2.7027027027027029E-2</v>
      </c>
      <c r="D38" s="17">
        <v>1</v>
      </c>
      <c r="E38" s="17">
        <v>0</v>
      </c>
      <c r="F38" s="17">
        <v>0</v>
      </c>
      <c r="G38" s="17">
        <v>0</v>
      </c>
      <c r="H38" s="19">
        <f t="shared" si="0"/>
        <v>1</v>
      </c>
    </row>
    <row r="39" spans="1:18" x14ac:dyDescent="0.15">
      <c r="A39">
        <v>316</v>
      </c>
      <c r="B39">
        <v>5</v>
      </c>
      <c r="C39" s="18">
        <v>6.7567567567567571E-2</v>
      </c>
      <c r="D39" s="17">
        <v>1</v>
      </c>
      <c r="E39" s="17">
        <v>0</v>
      </c>
      <c r="F39" s="17">
        <v>0</v>
      </c>
      <c r="G39" s="17">
        <v>0</v>
      </c>
      <c r="H39" s="19">
        <f t="shared" si="0"/>
        <v>1</v>
      </c>
    </row>
    <row r="40" spans="1:18" x14ac:dyDescent="0.15">
      <c r="A40">
        <v>317</v>
      </c>
      <c r="B40">
        <v>3</v>
      </c>
      <c r="C40" s="18">
        <v>4.0540540540540543E-2</v>
      </c>
      <c r="D40" s="17">
        <v>1</v>
      </c>
      <c r="E40" s="17">
        <v>0</v>
      </c>
      <c r="F40" s="17">
        <v>0</v>
      </c>
      <c r="G40" s="17">
        <v>0</v>
      </c>
      <c r="H40" s="19">
        <f t="shared" si="0"/>
        <v>1</v>
      </c>
    </row>
    <row r="41" spans="1:18" x14ac:dyDescent="0.15">
      <c r="D41" s="17">
        <v>1</v>
      </c>
      <c r="E41" s="17">
        <v>0</v>
      </c>
      <c r="F41" s="17">
        <v>0</v>
      </c>
      <c r="G41" s="17">
        <v>0</v>
      </c>
      <c r="H41" s="19">
        <f t="shared" si="0"/>
        <v>1</v>
      </c>
    </row>
    <row r="42" spans="1:18" x14ac:dyDescent="0.15">
      <c r="D42" s="17">
        <v>1</v>
      </c>
      <c r="E42" s="17">
        <v>0</v>
      </c>
      <c r="F42" s="17">
        <v>0</v>
      </c>
      <c r="G42" s="17">
        <v>0</v>
      </c>
      <c r="H42" s="19">
        <f t="shared" si="0"/>
        <v>1</v>
      </c>
    </row>
    <row r="43" spans="1:18" x14ac:dyDescent="0.15">
      <c r="D43" s="17">
        <v>1</v>
      </c>
      <c r="E43" s="17">
        <v>0</v>
      </c>
      <c r="F43" s="17">
        <v>0</v>
      </c>
      <c r="G43" s="17">
        <v>0</v>
      </c>
      <c r="H43" s="19">
        <f t="shared" si="0"/>
        <v>1</v>
      </c>
    </row>
    <row r="44" spans="1:18" x14ac:dyDescent="0.15">
      <c r="D44" s="17">
        <v>1</v>
      </c>
      <c r="E44" s="17">
        <v>0</v>
      </c>
      <c r="F44" s="17">
        <v>0</v>
      </c>
      <c r="G44" s="17">
        <v>0</v>
      </c>
      <c r="H44" s="19">
        <f t="shared" si="0"/>
        <v>1</v>
      </c>
    </row>
    <row r="45" spans="1:18" x14ac:dyDescent="0.15">
      <c r="D45" s="17">
        <v>1</v>
      </c>
      <c r="E45" s="17">
        <v>0</v>
      </c>
      <c r="F45" s="17">
        <v>0</v>
      </c>
      <c r="G45" s="17">
        <v>0</v>
      </c>
      <c r="H45" s="19">
        <f t="shared" si="0"/>
        <v>1</v>
      </c>
    </row>
    <row r="46" spans="1:18" x14ac:dyDescent="0.15">
      <c r="D46" s="17">
        <v>1</v>
      </c>
      <c r="E46" s="17">
        <v>0</v>
      </c>
      <c r="F46" s="17">
        <v>0</v>
      </c>
      <c r="G46" s="17">
        <v>0</v>
      </c>
      <c r="H46" s="19">
        <f t="shared" si="0"/>
        <v>1</v>
      </c>
    </row>
    <row r="47" spans="1:18" x14ac:dyDescent="0.15">
      <c r="D47" s="17">
        <v>1</v>
      </c>
      <c r="E47" s="17">
        <v>0</v>
      </c>
      <c r="F47" s="17">
        <v>0</v>
      </c>
      <c r="G47" s="17">
        <v>0</v>
      </c>
      <c r="H47" s="19">
        <f t="shared" si="0"/>
        <v>1</v>
      </c>
    </row>
    <row r="48" spans="1:18" x14ac:dyDescent="0.15">
      <c r="D48" s="17">
        <v>1</v>
      </c>
      <c r="E48" s="17">
        <v>0</v>
      </c>
      <c r="F48" s="17">
        <v>0</v>
      </c>
      <c r="G48" s="17">
        <v>0</v>
      </c>
      <c r="H48" s="19">
        <f t="shared" si="0"/>
        <v>1</v>
      </c>
    </row>
    <row r="49" spans="4:8" x14ac:dyDescent="0.15">
      <c r="D49" s="17">
        <v>1</v>
      </c>
      <c r="E49" s="17">
        <v>0</v>
      </c>
      <c r="F49" s="17">
        <v>0</v>
      </c>
      <c r="G49" s="17">
        <v>0</v>
      </c>
      <c r="H49" s="19">
        <f t="shared" si="0"/>
        <v>1</v>
      </c>
    </row>
    <row r="50" spans="4:8" x14ac:dyDescent="0.15">
      <c r="D50" s="17">
        <v>1</v>
      </c>
      <c r="E50" s="17">
        <v>0</v>
      </c>
      <c r="F50" s="17">
        <v>0</v>
      </c>
      <c r="G50" s="17">
        <v>0</v>
      </c>
      <c r="H50" s="19">
        <f t="shared" si="0"/>
        <v>1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V109"/>
  <sheetViews>
    <sheetView workbookViewId="0">
      <selection activeCell="J24" sqref="J24"/>
    </sheetView>
  </sheetViews>
  <sheetFormatPr baseColWidth="10" defaultColWidth="11.5" defaultRowHeight="13" x14ac:dyDescent="0.15"/>
  <cols>
    <col min="1" max="1" width="10" style="4" bestFit="1" customWidth="1"/>
    <col min="2" max="2" width="12.6640625" style="4" bestFit="1" customWidth="1"/>
    <col min="3" max="3" width="12.33203125" style="4" bestFit="1" customWidth="1"/>
    <col min="4" max="5" width="12.33203125" bestFit="1" customWidth="1"/>
    <col min="9" max="9" width="2" bestFit="1" customWidth="1"/>
    <col min="17" max="17" width="12.33203125" style="62" bestFit="1" customWidth="1"/>
    <col min="19" max="19" width="12.5" bestFit="1" customWidth="1"/>
    <col min="22" max="22" width="11.5" style="62"/>
  </cols>
  <sheetData>
    <row r="1" spans="1:22" ht="15" x14ac:dyDescent="0.2">
      <c r="A1" s="37" t="s">
        <v>4</v>
      </c>
      <c r="B1" s="39" t="s">
        <v>22</v>
      </c>
      <c r="C1" s="39" t="s">
        <v>23</v>
      </c>
      <c r="D1" s="39" t="s">
        <v>24</v>
      </c>
      <c r="E1" s="33" t="s">
        <v>25</v>
      </c>
      <c r="G1" s="28"/>
      <c r="L1" s="30" t="s">
        <v>4</v>
      </c>
      <c r="M1" s="63" t="s">
        <v>22</v>
      </c>
      <c r="N1" s="63" t="s">
        <v>23</v>
      </c>
      <c r="O1" s="63" t="s">
        <v>24</v>
      </c>
      <c r="P1" s="63" t="s">
        <v>25</v>
      </c>
      <c r="Q1" s="58" t="s">
        <v>26</v>
      </c>
      <c r="S1" s="30" t="s">
        <v>27</v>
      </c>
      <c r="T1" s="38" t="s">
        <v>3</v>
      </c>
      <c r="U1" s="39" t="s">
        <v>4</v>
      </c>
      <c r="V1" s="58" t="s">
        <v>2</v>
      </c>
    </row>
    <row r="2" spans="1:22" ht="12.75" customHeight="1" x14ac:dyDescent="0.2">
      <c r="A2" s="34">
        <f>+Solver!A6</f>
        <v>1</v>
      </c>
      <c r="B2" s="41">
        <f>+Solver!D6</f>
        <v>0</v>
      </c>
      <c r="C2" s="41">
        <f>+Solver!E6</f>
        <v>1</v>
      </c>
      <c r="D2" s="41">
        <f>+Solver!F6</f>
        <v>0</v>
      </c>
      <c r="E2" s="44">
        <f>+Solver!G6</f>
        <v>0</v>
      </c>
      <c r="G2" s="29"/>
      <c r="H2" s="32" t="s">
        <v>10</v>
      </c>
      <c r="I2" s="31">
        <f>VALUE(RIGHT(H2,1))</f>
        <v>1</v>
      </c>
      <c r="J2" s="56">
        <f>+HLOOKUP(H2,Solver!$K$1:$V$2,2,0)</f>
        <v>60331</v>
      </c>
      <c r="L2" s="34">
        <f t="shared" ref="L2:L35" si="0">A2</f>
        <v>1</v>
      </c>
      <c r="M2" s="64" t="str">
        <f>IF(B2&gt;0,$J$2,"")</f>
        <v/>
      </c>
      <c r="N2" s="64" t="str">
        <f>IF(C2&gt;0,$J$3,"")</f>
        <v>21651</v>
      </c>
      <c r="O2" s="64" t="str">
        <f>IF(D2&gt;0,$J$4,"")</f>
        <v/>
      </c>
      <c r="P2" s="64" t="str">
        <f>IF(E2&gt;0,$J$5,"")</f>
        <v/>
      </c>
      <c r="Q2" s="59" t="str">
        <f>IF(L2&gt;0,CONCATENATE(M2,N2,O2,P2),"Borrar1")</f>
        <v>21651</v>
      </c>
      <c r="S2" s="49" t="str">
        <f>+Solver!$J$2</f>
        <v>03398</v>
      </c>
      <c r="T2" s="46">
        <f>+Solver!$I$2</f>
        <v>271503000</v>
      </c>
      <c r="U2" s="50">
        <f>Asignacion!L2</f>
        <v>1</v>
      </c>
      <c r="V2" s="60" t="str">
        <f>IF(Q2="","Borrar2",Q2)</f>
        <v>21651</v>
      </c>
    </row>
    <row r="3" spans="1:22" ht="12.75" customHeight="1" x14ac:dyDescent="0.2">
      <c r="A3" s="35">
        <f>+Solver!A7</f>
        <v>4</v>
      </c>
      <c r="B3" s="41">
        <f>+Solver!D7</f>
        <v>0</v>
      </c>
      <c r="C3" s="41">
        <f>+Solver!E7</f>
        <v>1</v>
      </c>
      <c r="D3" s="41">
        <f>+Solver!F7</f>
        <v>0</v>
      </c>
      <c r="E3" s="44">
        <f>+Solver!G7</f>
        <v>0</v>
      </c>
      <c r="G3" s="29"/>
      <c r="H3" s="32" t="s">
        <v>13</v>
      </c>
      <c r="I3" s="31">
        <f t="shared" ref="I3:I5" si="1">VALUE(RIGHT(H3,1))</f>
        <v>2</v>
      </c>
      <c r="J3" s="56" t="str">
        <f>+HLOOKUP(H3,Solver!$K$1:$V$2,2,0)</f>
        <v>21651</v>
      </c>
      <c r="L3" s="35">
        <f t="shared" si="0"/>
        <v>4</v>
      </c>
      <c r="M3" s="64" t="str">
        <f t="shared" ref="M3:M46" si="2">IF(B3&gt;0,$J$2,"")</f>
        <v/>
      </c>
      <c r="N3" s="64" t="str">
        <f t="shared" ref="N3:N46" si="3">IF(C3&gt;0,$J$3,"")</f>
        <v>21651</v>
      </c>
      <c r="O3" s="64" t="str">
        <f t="shared" ref="O3:O46" si="4">IF(D3&gt;0,$J$4,"")</f>
        <v/>
      </c>
      <c r="P3" s="64" t="str">
        <f t="shared" ref="P3:P46" si="5">IF(E3&gt;0,$J$5,"")</f>
        <v/>
      </c>
      <c r="Q3" s="59" t="str">
        <f t="shared" ref="Q3:Q46" si="6">IF(L3&gt;0,CONCATENATE(M3,N3,O3,P3),"Borrar1")</f>
        <v>21651</v>
      </c>
      <c r="S3" s="49" t="str">
        <f>+Solver!$J$2</f>
        <v>03398</v>
      </c>
      <c r="T3" s="46">
        <f>+Solver!$I$2</f>
        <v>271503000</v>
      </c>
      <c r="U3" s="51">
        <f>Asignacion!L3</f>
        <v>4</v>
      </c>
      <c r="V3" s="60" t="str">
        <f t="shared" ref="V3:V46" si="7">IF(Q3="","Borrar2",Q3)</f>
        <v>21651</v>
      </c>
    </row>
    <row r="4" spans="1:22" ht="12.75" customHeight="1" x14ac:dyDescent="0.2">
      <c r="A4" s="34">
        <f>+Solver!A8</f>
        <v>7</v>
      </c>
      <c r="B4" s="41">
        <f>+Solver!D8</f>
        <v>0</v>
      </c>
      <c r="C4" s="41">
        <f>+Solver!E8</f>
        <v>1</v>
      </c>
      <c r="D4" s="41">
        <f>+Solver!F8</f>
        <v>0</v>
      </c>
      <c r="E4" s="44">
        <f>+Solver!G8</f>
        <v>0</v>
      </c>
      <c r="G4" s="29"/>
      <c r="H4" s="32" t="s">
        <v>14</v>
      </c>
      <c r="I4" s="31">
        <f t="shared" si="1"/>
        <v>3</v>
      </c>
      <c r="J4" s="56">
        <f>+HLOOKUP(H4,Solver!$K$1:$V$2,2,0)</f>
        <v>0</v>
      </c>
      <c r="L4" s="34">
        <f t="shared" si="0"/>
        <v>7</v>
      </c>
      <c r="M4" s="64" t="str">
        <f t="shared" si="2"/>
        <v/>
      </c>
      <c r="N4" s="64" t="str">
        <f t="shared" si="3"/>
        <v>21651</v>
      </c>
      <c r="O4" s="64" t="str">
        <f t="shared" si="4"/>
        <v/>
      </c>
      <c r="P4" s="64" t="str">
        <f t="shared" si="5"/>
        <v/>
      </c>
      <c r="Q4" s="59" t="str">
        <f t="shared" si="6"/>
        <v>21651</v>
      </c>
      <c r="S4" s="49" t="str">
        <f>+Solver!$J$2</f>
        <v>03398</v>
      </c>
      <c r="T4" s="46">
        <f>+Solver!$I$2</f>
        <v>271503000</v>
      </c>
      <c r="U4" s="50">
        <f>Asignacion!L4</f>
        <v>7</v>
      </c>
      <c r="V4" s="60" t="str">
        <f t="shared" si="7"/>
        <v>21651</v>
      </c>
    </row>
    <row r="5" spans="1:22" ht="12.75" customHeight="1" x14ac:dyDescent="0.2">
      <c r="A5" s="35">
        <f>+Solver!A9</f>
        <v>8</v>
      </c>
      <c r="B5" s="41">
        <f>+Solver!D9</f>
        <v>0</v>
      </c>
      <c r="C5" s="41">
        <f>+Solver!E9</f>
        <v>1</v>
      </c>
      <c r="D5" s="41">
        <f>+Solver!F9</f>
        <v>0</v>
      </c>
      <c r="E5" s="44">
        <f>+Solver!G9</f>
        <v>0</v>
      </c>
      <c r="G5" s="29"/>
      <c r="H5" s="32" t="s">
        <v>15</v>
      </c>
      <c r="I5" s="31">
        <f t="shared" si="1"/>
        <v>4</v>
      </c>
      <c r="J5" s="56">
        <f>+HLOOKUP(H5,Solver!$K$1:$V$2,2,0)</f>
        <v>0</v>
      </c>
      <c r="L5" s="35">
        <f t="shared" si="0"/>
        <v>8</v>
      </c>
      <c r="M5" s="64" t="str">
        <f t="shared" si="2"/>
        <v/>
      </c>
      <c r="N5" s="64" t="str">
        <f t="shared" si="3"/>
        <v>21651</v>
      </c>
      <c r="O5" s="64" t="str">
        <f t="shared" si="4"/>
        <v/>
      </c>
      <c r="P5" s="64" t="str">
        <f t="shared" si="5"/>
        <v/>
      </c>
      <c r="Q5" s="59" t="str">
        <f t="shared" si="6"/>
        <v>21651</v>
      </c>
      <c r="S5" s="49" t="str">
        <f>+Solver!$J$2</f>
        <v>03398</v>
      </c>
      <c r="T5" s="46">
        <f>+Solver!$I$2</f>
        <v>271503000</v>
      </c>
      <c r="U5" s="51">
        <f>Asignacion!L5</f>
        <v>8</v>
      </c>
      <c r="V5" s="60" t="str">
        <f t="shared" si="7"/>
        <v>21651</v>
      </c>
    </row>
    <row r="6" spans="1:22" ht="12.75" customHeight="1" x14ac:dyDescent="0.15">
      <c r="A6" s="34">
        <f>+Solver!A10</f>
        <v>15</v>
      </c>
      <c r="B6" s="41">
        <f>+Solver!D10</f>
        <v>0</v>
      </c>
      <c r="C6" s="41">
        <f>+Solver!E10</f>
        <v>1</v>
      </c>
      <c r="D6" s="41">
        <f>+Solver!F10</f>
        <v>0</v>
      </c>
      <c r="E6" s="44">
        <f>+Solver!G10</f>
        <v>0</v>
      </c>
      <c r="G6" s="29"/>
      <c r="L6" s="34">
        <f t="shared" si="0"/>
        <v>15</v>
      </c>
      <c r="M6" s="64" t="str">
        <f t="shared" si="2"/>
        <v/>
      </c>
      <c r="N6" s="64" t="str">
        <f t="shared" si="3"/>
        <v>21651</v>
      </c>
      <c r="O6" s="64" t="str">
        <f t="shared" si="4"/>
        <v/>
      </c>
      <c r="P6" s="64" t="str">
        <f t="shared" si="5"/>
        <v/>
      </c>
      <c r="Q6" s="59" t="str">
        <f t="shared" si="6"/>
        <v>21651</v>
      </c>
      <c r="S6" s="49" t="str">
        <f>+Solver!$J$2</f>
        <v>03398</v>
      </c>
      <c r="T6" s="46">
        <f>+Solver!$I$2</f>
        <v>271503000</v>
      </c>
      <c r="U6" s="50">
        <f>Asignacion!L6</f>
        <v>15</v>
      </c>
      <c r="V6" s="60" t="str">
        <f t="shared" si="7"/>
        <v>21651</v>
      </c>
    </row>
    <row r="7" spans="1:22" ht="12.75" customHeight="1" x14ac:dyDescent="0.15">
      <c r="A7" s="35">
        <f>+Solver!A11</f>
        <v>27</v>
      </c>
      <c r="B7" s="41">
        <f>+Solver!D11</f>
        <v>0</v>
      </c>
      <c r="C7" s="41">
        <f>+Solver!E11</f>
        <v>1</v>
      </c>
      <c r="D7" s="41">
        <f>+Solver!F11</f>
        <v>0</v>
      </c>
      <c r="E7" s="44">
        <f>+Solver!G11</f>
        <v>0</v>
      </c>
      <c r="G7" s="29"/>
      <c r="L7" s="35">
        <f t="shared" si="0"/>
        <v>27</v>
      </c>
      <c r="M7" s="64" t="str">
        <f t="shared" si="2"/>
        <v/>
      </c>
      <c r="N7" s="64" t="str">
        <f t="shared" si="3"/>
        <v>21651</v>
      </c>
      <c r="O7" s="64" t="str">
        <f t="shared" si="4"/>
        <v/>
      </c>
      <c r="P7" s="64" t="str">
        <f t="shared" si="5"/>
        <v/>
      </c>
      <c r="Q7" s="59" t="str">
        <f t="shared" si="6"/>
        <v>21651</v>
      </c>
      <c r="S7" s="49" t="str">
        <f>+Solver!$J$2</f>
        <v>03398</v>
      </c>
      <c r="T7" s="46">
        <f>+Solver!$I$2</f>
        <v>271503000</v>
      </c>
      <c r="U7" s="51">
        <f>Asignacion!L7</f>
        <v>27</v>
      </c>
      <c r="V7" s="60" t="str">
        <f t="shared" si="7"/>
        <v>21651</v>
      </c>
    </row>
    <row r="8" spans="1:22" ht="12.75" customHeight="1" x14ac:dyDescent="0.15">
      <c r="A8" s="34">
        <f>+Solver!A12</f>
        <v>32</v>
      </c>
      <c r="B8" s="41">
        <f>+Solver!D12</f>
        <v>0</v>
      </c>
      <c r="C8" s="41">
        <f>+Solver!E12</f>
        <v>1</v>
      </c>
      <c r="D8" s="41">
        <f>+Solver!F12</f>
        <v>0</v>
      </c>
      <c r="E8" s="44">
        <f>+Solver!G12</f>
        <v>0</v>
      </c>
      <c r="G8" s="29"/>
      <c r="L8" s="34">
        <f t="shared" si="0"/>
        <v>32</v>
      </c>
      <c r="M8" s="64" t="str">
        <f t="shared" si="2"/>
        <v/>
      </c>
      <c r="N8" s="64" t="str">
        <f t="shared" si="3"/>
        <v>21651</v>
      </c>
      <c r="O8" s="64" t="str">
        <f t="shared" si="4"/>
        <v/>
      </c>
      <c r="P8" s="64" t="str">
        <f t="shared" si="5"/>
        <v/>
      </c>
      <c r="Q8" s="59" t="str">
        <f t="shared" si="6"/>
        <v>21651</v>
      </c>
      <c r="S8" s="49" t="str">
        <f>+Solver!$J$2</f>
        <v>03398</v>
      </c>
      <c r="T8" s="46">
        <f>+Solver!$I$2</f>
        <v>271503000</v>
      </c>
      <c r="U8" s="50">
        <f>Asignacion!L8</f>
        <v>32</v>
      </c>
      <c r="V8" s="60" t="str">
        <f t="shared" si="7"/>
        <v>21651</v>
      </c>
    </row>
    <row r="9" spans="1:22" ht="12.75" customHeight="1" x14ac:dyDescent="0.15">
      <c r="A9" s="35">
        <f>+Solver!A13</f>
        <v>49</v>
      </c>
      <c r="B9" s="41">
        <f>+Solver!D13</f>
        <v>0</v>
      </c>
      <c r="C9" s="41">
        <f>+Solver!E13</f>
        <v>1</v>
      </c>
      <c r="D9" s="41">
        <f>+Solver!F13</f>
        <v>0</v>
      </c>
      <c r="E9" s="44">
        <f>+Solver!G13</f>
        <v>0</v>
      </c>
      <c r="G9" s="29"/>
      <c r="L9" s="35">
        <f t="shared" si="0"/>
        <v>49</v>
      </c>
      <c r="M9" s="64" t="str">
        <f t="shared" si="2"/>
        <v/>
      </c>
      <c r="N9" s="64" t="str">
        <f t="shared" si="3"/>
        <v>21651</v>
      </c>
      <c r="O9" s="64" t="str">
        <f t="shared" si="4"/>
        <v/>
      </c>
      <c r="P9" s="64" t="str">
        <f t="shared" si="5"/>
        <v/>
      </c>
      <c r="Q9" s="59" t="str">
        <f t="shared" si="6"/>
        <v>21651</v>
      </c>
      <c r="S9" s="49" t="str">
        <f>+Solver!$J$2</f>
        <v>03398</v>
      </c>
      <c r="T9" s="46">
        <f>+Solver!$I$2</f>
        <v>271503000</v>
      </c>
      <c r="U9" s="51">
        <f>Asignacion!L9</f>
        <v>49</v>
      </c>
      <c r="V9" s="60" t="str">
        <f t="shared" si="7"/>
        <v>21651</v>
      </c>
    </row>
    <row r="10" spans="1:22" ht="12.75" customHeight="1" x14ac:dyDescent="0.15">
      <c r="A10" s="34">
        <f>+Solver!A14</f>
        <v>59</v>
      </c>
      <c r="B10" s="41">
        <f>+Solver!D14</f>
        <v>0</v>
      </c>
      <c r="C10" s="41">
        <f>+Solver!E14</f>
        <v>1</v>
      </c>
      <c r="D10" s="41">
        <f>+Solver!F14</f>
        <v>0</v>
      </c>
      <c r="E10" s="44">
        <f>+Solver!G14</f>
        <v>0</v>
      </c>
      <c r="G10" s="29"/>
      <c r="L10" s="34">
        <f t="shared" si="0"/>
        <v>59</v>
      </c>
      <c r="M10" s="64" t="str">
        <f t="shared" si="2"/>
        <v/>
      </c>
      <c r="N10" s="64" t="str">
        <f t="shared" si="3"/>
        <v>21651</v>
      </c>
      <c r="O10" s="64" t="str">
        <f t="shared" si="4"/>
        <v/>
      </c>
      <c r="P10" s="64" t="str">
        <f t="shared" si="5"/>
        <v/>
      </c>
      <c r="Q10" s="59" t="str">
        <f t="shared" si="6"/>
        <v>21651</v>
      </c>
      <c r="S10" s="49" t="str">
        <f>+Solver!$J$2</f>
        <v>03398</v>
      </c>
      <c r="T10" s="46">
        <f>+Solver!$I$2</f>
        <v>271503000</v>
      </c>
      <c r="U10" s="50">
        <f>Asignacion!L10</f>
        <v>59</v>
      </c>
      <c r="V10" s="60" t="str">
        <f t="shared" si="7"/>
        <v>21651</v>
      </c>
    </row>
    <row r="11" spans="1:22" ht="12.75" customHeight="1" x14ac:dyDescent="0.15">
      <c r="A11" s="35">
        <f>+Solver!A15</f>
        <v>305</v>
      </c>
      <c r="B11" s="41">
        <f>+Solver!D15</f>
        <v>0</v>
      </c>
      <c r="C11" s="41">
        <f>+Solver!E15</f>
        <v>1</v>
      </c>
      <c r="D11" s="41">
        <f>+Solver!F15</f>
        <v>0</v>
      </c>
      <c r="E11" s="44">
        <f>+Solver!G15</f>
        <v>0</v>
      </c>
      <c r="G11" s="29"/>
      <c r="L11" s="35">
        <f t="shared" si="0"/>
        <v>305</v>
      </c>
      <c r="M11" s="64" t="str">
        <f t="shared" si="2"/>
        <v/>
      </c>
      <c r="N11" s="64" t="str">
        <f t="shared" si="3"/>
        <v>21651</v>
      </c>
      <c r="O11" s="64" t="str">
        <f t="shared" si="4"/>
        <v/>
      </c>
      <c r="P11" s="64" t="str">
        <f t="shared" si="5"/>
        <v/>
      </c>
      <c r="Q11" s="59" t="str">
        <f t="shared" si="6"/>
        <v>21651</v>
      </c>
      <c r="S11" s="49" t="str">
        <f>+Solver!$J$2</f>
        <v>03398</v>
      </c>
      <c r="T11" s="46">
        <f>+Solver!$I$2</f>
        <v>271503000</v>
      </c>
      <c r="U11" s="51">
        <f>Asignacion!L11</f>
        <v>305</v>
      </c>
      <c r="V11" s="60" t="str">
        <f t="shared" si="7"/>
        <v>21651</v>
      </c>
    </row>
    <row r="12" spans="1:22" ht="12.75" customHeight="1" x14ac:dyDescent="0.15">
      <c r="A12" s="34">
        <f>+Solver!A16</f>
        <v>307</v>
      </c>
      <c r="B12" s="41">
        <f>+Solver!D16</f>
        <v>0</v>
      </c>
      <c r="C12" s="41">
        <f>+Solver!E16</f>
        <v>1</v>
      </c>
      <c r="D12" s="41">
        <f>+Solver!F16</f>
        <v>0</v>
      </c>
      <c r="E12" s="44">
        <f>+Solver!G16</f>
        <v>0</v>
      </c>
      <c r="G12" s="29"/>
      <c r="L12" s="34">
        <f t="shared" si="0"/>
        <v>307</v>
      </c>
      <c r="M12" s="64" t="str">
        <f t="shared" si="2"/>
        <v/>
      </c>
      <c r="N12" s="64" t="str">
        <f t="shared" si="3"/>
        <v>21651</v>
      </c>
      <c r="O12" s="64" t="str">
        <f t="shared" si="4"/>
        <v/>
      </c>
      <c r="P12" s="64" t="str">
        <f t="shared" si="5"/>
        <v/>
      </c>
      <c r="Q12" s="59" t="str">
        <f t="shared" si="6"/>
        <v>21651</v>
      </c>
      <c r="S12" s="49" t="str">
        <f>+Solver!$J$2</f>
        <v>03398</v>
      </c>
      <c r="T12" s="46">
        <f>+Solver!$I$2</f>
        <v>271503000</v>
      </c>
      <c r="U12" s="50">
        <f>Asignacion!L12</f>
        <v>307</v>
      </c>
      <c r="V12" s="60" t="str">
        <f t="shared" si="7"/>
        <v>21651</v>
      </c>
    </row>
    <row r="13" spans="1:22" ht="12.75" customHeight="1" x14ac:dyDescent="0.15">
      <c r="A13" s="35">
        <f>+Solver!A17</f>
        <v>309</v>
      </c>
      <c r="B13" s="41">
        <f>+Solver!D17</f>
        <v>0</v>
      </c>
      <c r="C13" s="41">
        <f>+Solver!E17</f>
        <v>1</v>
      </c>
      <c r="D13" s="41">
        <f>+Solver!F17</f>
        <v>0</v>
      </c>
      <c r="E13" s="44">
        <f>+Solver!G17</f>
        <v>0</v>
      </c>
      <c r="G13" s="29"/>
      <c r="L13" s="35">
        <f t="shared" si="0"/>
        <v>309</v>
      </c>
      <c r="M13" s="64" t="str">
        <f t="shared" si="2"/>
        <v/>
      </c>
      <c r="N13" s="64" t="str">
        <f t="shared" si="3"/>
        <v>21651</v>
      </c>
      <c r="O13" s="64" t="str">
        <f t="shared" si="4"/>
        <v/>
      </c>
      <c r="P13" s="64" t="str">
        <f t="shared" si="5"/>
        <v/>
      </c>
      <c r="Q13" s="59" t="str">
        <f t="shared" si="6"/>
        <v>21651</v>
      </c>
      <c r="S13" s="49" t="str">
        <f>+Solver!$J$2</f>
        <v>03398</v>
      </c>
      <c r="T13" s="46">
        <f>+Solver!$I$2</f>
        <v>271503000</v>
      </c>
      <c r="U13" s="51">
        <f>Asignacion!L13</f>
        <v>309</v>
      </c>
      <c r="V13" s="60" t="str">
        <f t="shared" si="7"/>
        <v>21651</v>
      </c>
    </row>
    <row r="14" spans="1:22" x14ac:dyDescent="0.15">
      <c r="A14" s="34">
        <f>+Solver!A18</f>
        <v>312</v>
      </c>
      <c r="B14" s="41">
        <f>+Solver!D18</f>
        <v>0</v>
      </c>
      <c r="C14" s="41">
        <f>+Solver!E18</f>
        <v>1</v>
      </c>
      <c r="D14" s="41">
        <f>+Solver!F18</f>
        <v>0</v>
      </c>
      <c r="E14" s="44">
        <f>+Solver!G18</f>
        <v>0</v>
      </c>
      <c r="G14" s="29"/>
      <c r="L14" s="34">
        <f t="shared" si="0"/>
        <v>312</v>
      </c>
      <c r="M14" s="64" t="str">
        <f t="shared" si="2"/>
        <v/>
      </c>
      <c r="N14" s="64" t="str">
        <f t="shared" si="3"/>
        <v>21651</v>
      </c>
      <c r="O14" s="64" t="str">
        <f t="shared" si="4"/>
        <v/>
      </c>
      <c r="P14" s="64" t="str">
        <f t="shared" si="5"/>
        <v/>
      </c>
      <c r="Q14" s="59" t="str">
        <f t="shared" si="6"/>
        <v>21651</v>
      </c>
      <c r="S14" s="49" t="str">
        <f>+Solver!$J$2</f>
        <v>03398</v>
      </c>
      <c r="T14" s="46">
        <f>+Solver!$I$2</f>
        <v>271503000</v>
      </c>
      <c r="U14" s="50">
        <f>Asignacion!L14</f>
        <v>312</v>
      </c>
      <c r="V14" s="60" t="str">
        <f t="shared" si="7"/>
        <v>21651</v>
      </c>
    </row>
    <row r="15" spans="1:22" ht="12.75" customHeight="1" x14ac:dyDescent="0.15">
      <c r="A15" s="42">
        <f>+Solver!A19</f>
        <v>322</v>
      </c>
      <c r="B15" s="41">
        <f>+Solver!D19</f>
        <v>0</v>
      </c>
      <c r="C15" s="41">
        <f>+Solver!E19</f>
        <v>1</v>
      </c>
      <c r="D15" s="41">
        <f>+Solver!F19</f>
        <v>0</v>
      </c>
      <c r="E15" s="44">
        <f>+Solver!G19</f>
        <v>0</v>
      </c>
      <c r="G15" s="29"/>
      <c r="L15" s="35">
        <f t="shared" si="0"/>
        <v>322</v>
      </c>
      <c r="M15" s="64" t="str">
        <f t="shared" si="2"/>
        <v/>
      </c>
      <c r="N15" s="64" t="str">
        <f t="shared" si="3"/>
        <v>21651</v>
      </c>
      <c r="O15" s="64" t="str">
        <f t="shared" si="4"/>
        <v/>
      </c>
      <c r="P15" s="64" t="str">
        <f t="shared" si="5"/>
        <v/>
      </c>
      <c r="Q15" s="59" t="str">
        <f t="shared" si="6"/>
        <v>21651</v>
      </c>
      <c r="S15" s="49" t="str">
        <f>+Solver!$J$2</f>
        <v>03398</v>
      </c>
      <c r="T15" s="46">
        <f>+Solver!$I$2</f>
        <v>271503000</v>
      </c>
      <c r="U15" s="51">
        <f>Asignacion!L15</f>
        <v>322</v>
      </c>
      <c r="V15" s="60" t="str">
        <f t="shared" si="7"/>
        <v>21651</v>
      </c>
    </row>
    <row r="16" spans="1:22" x14ac:dyDescent="0.15">
      <c r="A16" s="40">
        <f>+Solver!A20</f>
        <v>329</v>
      </c>
      <c r="B16" s="41">
        <f>+Solver!D20</f>
        <v>1</v>
      </c>
      <c r="C16" s="41">
        <f>+Solver!E20</f>
        <v>0</v>
      </c>
      <c r="D16" s="41">
        <f>+Solver!F20</f>
        <v>0</v>
      </c>
      <c r="E16" s="44">
        <f>+Solver!G20</f>
        <v>0</v>
      </c>
      <c r="G16" s="29"/>
      <c r="L16" s="34">
        <f t="shared" si="0"/>
        <v>329</v>
      </c>
      <c r="M16" s="64">
        <f t="shared" si="2"/>
        <v>60331</v>
      </c>
      <c r="N16" s="64" t="str">
        <f t="shared" si="3"/>
        <v/>
      </c>
      <c r="O16" s="64" t="str">
        <f t="shared" si="4"/>
        <v/>
      </c>
      <c r="P16" s="64" t="str">
        <f t="shared" si="5"/>
        <v/>
      </c>
      <c r="Q16" s="59" t="str">
        <f t="shared" si="6"/>
        <v>60331</v>
      </c>
      <c r="S16" s="49" t="str">
        <f>+Solver!$J$2</f>
        <v>03398</v>
      </c>
      <c r="T16" s="46">
        <f>+Solver!$I$2</f>
        <v>271503000</v>
      </c>
      <c r="U16" s="50">
        <f>Asignacion!L16</f>
        <v>329</v>
      </c>
      <c r="V16" s="60" t="str">
        <f t="shared" si="7"/>
        <v>60331</v>
      </c>
    </row>
    <row r="17" spans="1:22" x14ac:dyDescent="0.15">
      <c r="A17" s="42">
        <f>+Solver!A21</f>
        <v>403</v>
      </c>
      <c r="B17" s="41">
        <f>+Solver!D21</f>
        <v>1</v>
      </c>
      <c r="C17" s="41">
        <f>+Solver!E21</f>
        <v>0</v>
      </c>
      <c r="D17" s="41">
        <f>+Solver!F21</f>
        <v>0</v>
      </c>
      <c r="E17" s="44">
        <f>+Solver!G21</f>
        <v>0</v>
      </c>
      <c r="G17" s="29"/>
      <c r="L17" s="35">
        <f t="shared" si="0"/>
        <v>403</v>
      </c>
      <c r="M17" s="64">
        <f t="shared" si="2"/>
        <v>60331</v>
      </c>
      <c r="N17" s="64" t="str">
        <f t="shared" si="3"/>
        <v/>
      </c>
      <c r="O17" s="64" t="str">
        <f t="shared" si="4"/>
        <v/>
      </c>
      <c r="P17" s="64" t="str">
        <f t="shared" si="5"/>
        <v/>
      </c>
      <c r="Q17" s="59" t="str">
        <f t="shared" si="6"/>
        <v>60331</v>
      </c>
      <c r="S17" s="49" t="str">
        <f>+Solver!$J$2</f>
        <v>03398</v>
      </c>
      <c r="T17" s="46">
        <f>+Solver!$I$2</f>
        <v>271503000</v>
      </c>
      <c r="U17" s="51">
        <f>Asignacion!L17</f>
        <v>403</v>
      </c>
      <c r="V17" s="60" t="str">
        <f t="shared" si="7"/>
        <v>60331</v>
      </c>
    </row>
    <row r="18" spans="1:22" ht="12.75" customHeight="1" x14ac:dyDescent="0.15">
      <c r="A18" s="40">
        <f>+Solver!A22</f>
        <v>3</v>
      </c>
      <c r="B18" s="41">
        <f>+Solver!D22</f>
        <v>1</v>
      </c>
      <c r="C18" s="41">
        <f>+Solver!E22</f>
        <v>0</v>
      </c>
      <c r="D18" s="41">
        <f>+Solver!F22</f>
        <v>0</v>
      </c>
      <c r="E18" s="44">
        <f>+Solver!G22</f>
        <v>0</v>
      </c>
      <c r="G18" s="29"/>
      <c r="L18" s="34">
        <f t="shared" si="0"/>
        <v>3</v>
      </c>
      <c r="M18" s="64">
        <f t="shared" si="2"/>
        <v>60331</v>
      </c>
      <c r="N18" s="64" t="str">
        <f t="shared" si="3"/>
        <v/>
      </c>
      <c r="O18" s="64" t="str">
        <f t="shared" si="4"/>
        <v/>
      </c>
      <c r="P18" s="64" t="str">
        <f t="shared" si="5"/>
        <v/>
      </c>
      <c r="Q18" s="59" t="str">
        <f t="shared" si="6"/>
        <v>60331</v>
      </c>
      <c r="S18" s="49" t="str">
        <f>+Solver!$J$2</f>
        <v>03398</v>
      </c>
      <c r="T18" s="46">
        <f>+Solver!$I$2</f>
        <v>271503000</v>
      </c>
      <c r="U18" s="50">
        <f>Asignacion!L18</f>
        <v>3</v>
      </c>
      <c r="V18" s="60" t="str">
        <f t="shared" si="7"/>
        <v>60331</v>
      </c>
    </row>
    <row r="19" spans="1:22" x14ac:dyDescent="0.15">
      <c r="A19" s="42">
        <f>+Solver!A23</f>
        <v>11</v>
      </c>
      <c r="B19" s="41">
        <f>+Solver!D23</f>
        <v>1</v>
      </c>
      <c r="C19" s="41">
        <f>+Solver!E23</f>
        <v>0</v>
      </c>
      <c r="D19" s="41">
        <f>+Solver!F23</f>
        <v>0</v>
      </c>
      <c r="E19" s="44">
        <f>+Solver!G23</f>
        <v>0</v>
      </c>
      <c r="G19" s="29"/>
      <c r="L19" s="35">
        <f t="shared" si="0"/>
        <v>11</v>
      </c>
      <c r="M19" s="64">
        <f t="shared" si="2"/>
        <v>60331</v>
      </c>
      <c r="N19" s="64" t="str">
        <f t="shared" si="3"/>
        <v/>
      </c>
      <c r="O19" s="64" t="str">
        <f t="shared" si="4"/>
        <v/>
      </c>
      <c r="P19" s="64" t="str">
        <f t="shared" si="5"/>
        <v/>
      </c>
      <c r="Q19" s="59" t="str">
        <f t="shared" si="6"/>
        <v>60331</v>
      </c>
      <c r="S19" s="49" t="str">
        <f>+Solver!$J$2</f>
        <v>03398</v>
      </c>
      <c r="T19" s="46">
        <f>+Solver!$I$2</f>
        <v>271503000</v>
      </c>
      <c r="U19" s="51">
        <f>Asignacion!L19</f>
        <v>11</v>
      </c>
      <c r="V19" s="60" t="str">
        <f t="shared" si="7"/>
        <v>60331</v>
      </c>
    </row>
    <row r="20" spans="1:22" ht="12.75" customHeight="1" x14ac:dyDescent="0.15">
      <c r="A20" s="40">
        <f>+Solver!A24</f>
        <v>17</v>
      </c>
      <c r="B20" s="41">
        <f>+Solver!D24</f>
        <v>1</v>
      </c>
      <c r="C20" s="41">
        <f>+Solver!E24</f>
        <v>0</v>
      </c>
      <c r="D20" s="41">
        <f>+Solver!F24</f>
        <v>0</v>
      </c>
      <c r="E20" s="44">
        <f>+Solver!G24</f>
        <v>0</v>
      </c>
      <c r="G20" s="29"/>
      <c r="L20" s="34">
        <f t="shared" si="0"/>
        <v>17</v>
      </c>
      <c r="M20" s="64">
        <f t="shared" si="2"/>
        <v>60331</v>
      </c>
      <c r="N20" s="64" t="str">
        <f t="shared" si="3"/>
        <v/>
      </c>
      <c r="O20" s="64" t="str">
        <f t="shared" si="4"/>
        <v/>
      </c>
      <c r="P20" s="64" t="str">
        <f t="shared" si="5"/>
        <v/>
      </c>
      <c r="Q20" s="59" t="str">
        <f t="shared" si="6"/>
        <v>60331</v>
      </c>
      <c r="S20" s="49" t="str">
        <f>+Solver!$J$2</f>
        <v>03398</v>
      </c>
      <c r="T20" s="46">
        <f>+Solver!$I$2</f>
        <v>271503000</v>
      </c>
      <c r="U20" s="50">
        <f>Asignacion!L20</f>
        <v>17</v>
      </c>
      <c r="V20" s="60" t="str">
        <f t="shared" si="7"/>
        <v>60331</v>
      </c>
    </row>
    <row r="21" spans="1:22" ht="12.75" customHeight="1" x14ac:dyDescent="0.15">
      <c r="A21" s="42">
        <f>+Solver!A25</f>
        <v>25</v>
      </c>
      <c r="B21" s="41">
        <f>+Solver!D25</f>
        <v>1</v>
      </c>
      <c r="C21" s="41">
        <f>+Solver!E25</f>
        <v>0</v>
      </c>
      <c r="D21" s="41">
        <f>+Solver!F25</f>
        <v>0</v>
      </c>
      <c r="E21" s="44">
        <f>+Solver!G25</f>
        <v>0</v>
      </c>
      <c r="G21" s="29"/>
      <c r="L21" s="35">
        <f t="shared" si="0"/>
        <v>25</v>
      </c>
      <c r="M21" s="64">
        <f t="shared" si="2"/>
        <v>60331</v>
      </c>
      <c r="N21" s="64" t="str">
        <f t="shared" si="3"/>
        <v/>
      </c>
      <c r="O21" s="64" t="str">
        <f t="shared" si="4"/>
        <v/>
      </c>
      <c r="P21" s="64" t="str">
        <f t="shared" si="5"/>
        <v/>
      </c>
      <c r="Q21" s="59" t="str">
        <f t="shared" si="6"/>
        <v>60331</v>
      </c>
      <c r="S21" s="49" t="str">
        <f>+Solver!$J$2</f>
        <v>03398</v>
      </c>
      <c r="T21" s="46">
        <f>+Solver!$I$2</f>
        <v>271503000</v>
      </c>
      <c r="U21" s="51">
        <f>Asignacion!L21</f>
        <v>25</v>
      </c>
      <c r="V21" s="60" t="str">
        <f t="shared" si="7"/>
        <v>60331</v>
      </c>
    </row>
    <row r="22" spans="1:22" ht="12.75" customHeight="1" x14ac:dyDescent="0.15">
      <c r="A22" s="40">
        <f>+Solver!A26</f>
        <v>34</v>
      </c>
      <c r="B22" s="41">
        <f>+Solver!D26</f>
        <v>1</v>
      </c>
      <c r="C22" s="41">
        <f>+Solver!E26</f>
        <v>0</v>
      </c>
      <c r="D22" s="41">
        <f>+Solver!F26</f>
        <v>0</v>
      </c>
      <c r="E22" s="44">
        <f>+Solver!G26</f>
        <v>0</v>
      </c>
      <c r="G22" s="29"/>
      <c r="L22" s="34">
        <f t="shared" si="0"/>
        <v>34</v>
      </c>
      <c r="M22" s="64">
        <f t="shared" si="2"/>
        <v>60331</v>
      </c>
      <c r="N22" s="64" t="str">
        <f t="shared" si="3"/>
        <v/>
      </c>
      <c r="O22" s="64" t="str">
        <f t="shared" si="4"/>
        <v/>
      </c>
      <c r="P22" s="64" t="str">
        <f t="shared" si="5"/>
        <v/>
      </c>
      <c r="Q22" s="59" t="str">
        <f t="shared" si="6"/>
        <v>60331</v>
      </c>
      <c r="S22" s="49" t="str">
        <f>+Solver!$J$2</f>
        <v>03398</v>
      </c>
      <c r="T22" s="46">
        <f>+Solver!$I$2</f>
        <v>271503000</v>
      </c>
      <c r="U22" s="50">
        <f>Asignacion!L22</f>
        <v>34</v>
      </c>
      <c r="V22" s="60" t="str">
        <f t="shared" si="7"/>
        <v>60331</v>
      </c>
    </row>
    <row r="23" spans="1:22" ht="12.75" customHeight="1" x14ac:dyDescent="0.15">
      <c r="A23" s="42">
        <f>+Solver!A27</f>
        <v>40</v>
      </c>
      <c r="B23" s="41">
        <f>+Solver!D27</f>
        <v>1</v>
      </c>
      <c r="C23" s="41">
        <f>+Solver!E27</f>
        <v>0</v>
      </c>
      <c r="D23" s="41">
        <f>+Solver!F27</f>
        <v>0</v>
      </c>
      <c r="E23" s="44">
        <f>+Solver!G27</f>
        <v>0</v>
      </c>
      <c r="G23" s="29"/>
      <c r="L23" s="35">
        <f t="shared" si="0"/>
        <v>40</v>
      </c>
      <c r="M23" s="64">
        <f t="shared" si="2"/>
        <v>60331</v>
      </c>
      <c r="N23" s="64" t="str">
        <f t="shared" si="3"/>
        <v/>
      </c>
      <c r="O23" s="64" t="str">
        <f t="shared" si="4"/>
        <v/>
      </c>
      <c r="P23" s="64" t="str">
        <f t="shared" si="5"/>
        <v/>
      </c>
      <c r="Q23" s="59" t="str">
        <f t="shared" si="6"/>
        <v>60331</v>
      </c>
      <c r="S23" s="49" t="str">
        <f>+Solver!$J$2</f>
        <v>03398</v>
      </c>
      <c r="T23" s="46">
        <f>+Solver!$I$2</f>
        <v>271503000</v>
      </c>
      <c r="U23" s="51">
        <f>Asignacion!L23</f>
        <v>40</v>
      </c>
      <c r="V23" s="60" t="str">
        <f t="shared" si="7"/>
        <v>60331</v>
      </c>
    </row>
    <row r="24" spans="1:22" ht="12.75" customHeight="1" x14ac:dyDescent="0.15">
      <c r="A24" s="40">
        <f>+Solver!A28</f>
        <v>46</v>
      </c>
      <c r="B24" s="41">
        <f>+Solver!D28</f>
        <v>1</v>
      </c>
      <c r="C24" s="41">
        <f>+Solver!E28</f>
        <v>0</v>
      </c>
      <c r="D24" s="41">
        <f>+Solver!F28</f>
        <v>0</v>
      </c>
      <c r="E24" s="44">
        <f>+Solver!G28</f>
        <v>0</v>
      </c>
      <c r="G24" s="29"/>
      <c r="L24" s="34">
        <f t="shared" si="0"/>
        <v>46</v>
      </c>
      <c r="M24" s="64">
        <f t="shared" si="2"/>
        <v>60331</v>
      </c>
      <c r="N24" s="64" t="str">
        <f t="shared" si="3"/>
        <v/>
      </c>
      <c r="O24" s="64" t="str">
        <f t="shared" si="4"/>
        <v/>
      </c>
      <c r="P24" s="64" t="str">
        <f t="shared" si="5"/>
        <v/>
      </c>
      <c r="Q24" s="59" t="str">
        <f t="shared" si="6"/>
        <v>60331</v>
      </c>
      <c r="S24" s="49" t="str">
        <f>+Solver!$J$2</f>
        <v>03398</v>
      </c>
      <c r="T24" s="46">
        <f>+Solver!$I$2</f>
        <v>271503000</v>
      </c>
      <c r="U24" s="50">
        <f>Asignacion!L24</f>
        <v>46</v>
      </c>
      <c r="V24" s="60" t="str">
        <f t="shared" si="7"/>
        <v>60331</v>
      </c>
    </row>
    <row r="25" spans="1:22" ht="12.75" customHeight="1" x14ac:dyDescent="0.15">
      <c r="A25" s="42">
        <f>+Solver!A29</f>
        <v>47</v>
      </c>
      <c r="B25" s="41">
        <f>+Solver!D29</f>
        <v>1</v>
      </c>
      <c r="C25" s="41">
        <f>+Solver!E29</f>
        <v>0</v>
      </c>
      <c r="D25" s="41">
        <f>+Solver!F29</f>
        <v>0</v>
      </c>
      <c r="E25" s="44">
        <f>+Solver!G29</f>
        <v>0</v>
      </c>
      <c r="G25" s="29"/>
      <c r="L25" s="35">
        <f t="shared" si="0"/>
        <v>47</v>
      </c>
      <c r="M25" s="64">
        <f t="shared" si="2"/>
        <v>60331</v>
      </c>
      <c r="N25" s="64" t="str">
        <f t="shared" si="3"/>
        <v/>
      </c>
      <c r="O25" s="64" t="str">
        <f t="shared" si="4"/>
        <v/>
      </c>
      <c r="P25" s="64" t="str">
        <f t="shared" si="5"/>
        <v/>
      </c>
      <c r="Q25" s="59" t="str">
        <f t="shared" si="6"/>
        <v>60331</v>
      </c>
      <c r="S25" s="49" t="str">
        <f>+Solver!$J$2</f>
        <v>03398</v>
      </c>
      <c r="T25" s="46">
        <f>+Solver!$I$2</f>
        <v>271503000</v>
      </c>
      <c r="U25" s="51">
        <f>Asignacion!L25</f>
        <v>47</v>
      </c>
      <c r="V25" s="60" t="str">
        <f t="shared" si="7"/>
        <v>60331</v>
      </c>
    </row>
    <row r="26" spans="1:22" ht="12.75" customHeight="1" x14ac:dyDescent="0.15">
      <c r="A26" s="40">
        <f>+Solver!A30</f>
        <v>48</v>
      </c>
      <c r="B26" s="41">
        <f>+Solver!D30</f>
        <v>1</v>
      </c>
      <c r="C26" s="41">
        <f>+Solver!E30</f>
        <v>0</v>
      </c>
      <c r="D26" s="41">
        <f>+Solver!F30</f>
        <v>0</v>
      </c>
      <c r="E26" s="44">
        <f>+Solver!G30</f>
        <v>0</v>
      </c>
      <c r="G26" s="29"/>
      <c r="L26" s="34">
        <f t="shared" si="0"/>
        <v>48</v>
      </c>
      <c r="M26" s="64">
        <f t="shared" si="2"/>
        <v>60331</v>
      </c>
      <c r="N26" s="64" t="str">
        <f t="shared" si="3"/>
        <v/>
      </c>
      <c r="O26" s="64" t="str">
        <f t="shared" si="4"/>
        <v/>
      </c>
      <c r="P26" s="64" t="str">
        <f t="shared" si="5"/>
        <v/>
      </c>
      <c r="Q26" s="59" t="str">
        <f t="shared" si="6"/>
        <v>60331</v>
      </c>
      <c r="S26" s="49" t="str">
        <f>+Solver!$J$2</f>
        <v>03398</v>
      </c>
      <c r="T26" s="46">
        <f>+Solver!$I$2</f>
        <v>271503000</v>
      </c>
      <c r="U26" s="50">
        <f>Asignacion!L26</f>
        <v>48</v>
      </c>
      <c r="V26" s="60" t="str">
        <f t="shared" si="7"/>
        <v>60331</v>
      </c>
    </row>
    <row r="27" spans="1:22" ht="12.75" customHeight="1" x14ac:dyDescent="0.15">
      <c r="A27" s="42">
        <f>+Solver!A31</f>
        <v>52</v>
      </c>
      <c r="B27" s="41">
        <f>+Solver!D31</f>
        <v>1</v>
      </c>
      <c r="C27" s="41">
        <f>+Solver!E31</f>
        <v>0</v>
      </c>
      <c r="D27" s="41">
        <f>+Solver!F31</f>
        <v>0</v>
      </c>
      <c r="E27" s="44">
        <f>+Solver!G31</f>
        <v>0</v>
      </c>
      <c r="G27" s="29"/>
      <c r="L27" s="35">
        <f t="shared" si="0"/>
        <v>52</v>
      </c>
      <c r="M27" s="64">
        <f t="shared" si="2"/>
        <v>60331</v>
      </c>
      <c r="N27" s="64" t="str">
        <f t="shared" si="3"/>
        <v/>
      </c>
      <c r="O27" s="64" t="str">
        <f t="shared" si="4"/>
        <v/>
      </c>
      <c r="P27" s="64" t="str">
        <f t="shared" si="5"/>
        <v/>
      </c>
      <c r="Q27" s="59" t="str">
        <f t="shared" si="6"/>
        <v>60331</v>
      </c>
      <c r="S27" s="49" t="str">
        <f>+Solver!$J$2</f>
        <v>03398</v>
      </c>
      <c r="T27" s="46">
        <f>+Solver!$I$2</f>
        <v>271503000</v>
      </c>
      <c r="U27" s="51">
        <f>Asignacion!L27</f>
        <v>52</v>
      </c>
      <c r="V27" s="60" t="str">
        <f t="shared" si="7"/>
        <v>60331</v>
      </c>
    </row>
    <row r="28" spans="1:22" ht="12.75" customHeight="1" x14ac:dyDescent="0.15">
      <c r="A28" s="40">
        <f>+Solver!A32</f>
        <v>53</v>
      </c>
      <c r="B28" s="41">
        <f>+Solver!D32</f>
        <v>1</v>
      </c>
      <c r="C28" s="41">
        <f>+Solver!E32</f>
        <v>0</v>
      </c>
      <c r="D28" s="41">
        <f>+Solver!F32</f>
        <v>0</v>
      </c>
      <c r="E28" s="44">
        <f>+Solver!G32</f>
        <v>0</v>
      </c>
      <c r="G28" s="29"/>
      <c r="L28" s="34">
        <f t="shared" si="0"/>
        <v>53</v>
      </c>
      <c r="M28" s="64">
        <f t="shared" si="2"/>
        <v>60331</v>
      </c>
      <c r="N28" s="64" t="str">
        <f t="shared" si="3"/>
        <v/>
      </c>
      <c r="O28" s="64" t="str">
        <f t="shared" si="4"/>
        <v/>
      </c>
      <c r="P28" s="64" t="str">
        <f t="shared" si="5"/>
        <v/>
      </c>
      <c r="Q28" s="59" t="str">
        <f t="shared" si="6"/>
        <v>60331</v>
      </c>
      <c r="S28" s="49" t="str">
        <f>+Solver!$J$2</f>
        <v>03398</v>
      </c>
      <c r="T28" s="46">
        <f>+Solver!$I$2</f>
        <v>271503000</v>
      </c>
      <c r="U28" s="50">
        <f>Asignacion!L28</f>
        <v>53</v>
      </c>
      <c r="V28" s="60" t="str">
        <f t="shared" si="7"/>
        <v>60331</v>
      </c>
    </row>
    <row r="29" spans="1:22" ht="12.75" customHeight="1" x14ac:dyDescent="0.15">
      <c r="A29" s="42">
        <f>+Solver!A33</f>
        <v>56</v>
      </c>
      <c r="B29" s="41">
        <f>+Solver!D33</f>
        <v>1</v>
      </c>
      <c r="C29" s="41">
        <f>+Solver!E33</f>
        <v>0</v>
      </c>
      <c r="D29" s="41">
        <f>+Solver!F33</f>
        <v>0</v>
      </c>
      <c r="E29" s="44">
        <f>+Solver!G33</f>
        <v>0</v>
      </c>
      <c r="G29" s="29"/>
      <c r="L29" s="35">
        <f t="shared" si="0"/>
        <v>56</v>
      </c>
      <c r="M29" s="64">
        <f t="shared" si="2"/>
        <v>60331</v>
      </c>
      <c r="N29" s="64" t="str">
        <f t="shared" si="3"/>
        <v/>
      </c>
      <c r="O29" s="64" t="str">
        <f t="shared" si="4"/>
        <v/>
      </c>
      <c r="P29" s="64" t="str">
        <f t="shared" si="5"/>
        <v/>
      </c>
      <c r="Q29" s="59" t="str">
        <f t="shared" si="6"/>
        <v>60331</v>
      </c>
      <c r="S29" s="49" t="str">
        <f>+Solver!$J$2</f>
        <v>03398</v>
      </c>
      <c r="T29" s="46">
        <f>+Solver!$I$2</f>
        <v>271503000</v>
      </c>
      <c r="U29" s="51">
        <f>Asignacion!L29</f>
        <v>56</v>
      </c>
      <c r="V29" s="60" t="str">
        <f t="shared" si="7"/>
        <v>60331</v>
      </c>
    </row>
    <row r="30" spans="1:22" ht="12.75" customHeight="1" x14ac:dyDescent="0.15">
      <c r="A30" s="40">
        <f>+Solver!A34</f>
        <v>60</v>
      </c>
      <c r="B30" s="41">
        <f>+Solver!D34</f>
        <v>1</v>
      </c>
      <c r="C30" s="41">
        <f>+Solver!E34</f>
        <v>0</v>
      </c>
      <c r="D30" s="41">
        <f>+Solver!F34</f>
        <v>0</v>
      </c>
      <c r="E30" s="44">
        <f>+Solver!G34</f>
        <v>0</v>
      </c>
      <c r="G30" s="29"/>
      <c r="L30" s="34">
        <f t="shared" si="0"/>
        <v>60</v>
      </c>
      <c r="M30" s="64">
        <f t="shared" si="2"/>
        <v>60331</v>
      </c>
      <c r="N30" s="64" t="str">
        <f t="shared" si="3"/>
        <v/>
      </c>
      <c r="O30" s="64" t="str">
        <f t="shared" si="4"/>
        <v/>
      </c>
      <c r="P30" s="64" t="str">
        <f t="shared" si="5"/>
        <v/>
      </c>
      <c r="Q30" s="59" t="str">
        <f t="shared" si="6"/>
        <v>60331</v>
      </c>
      <c r="S30" s="49" t="str">
        <f>+Solver!$J$2</f>
        <v>03398</v>
      </c>
      <c r="T30" s="46">
        <f>+Solver!$I$2</f>
        <v>271503000</v>
      </c>
      <c r="U30" s="50">
        <f>Asignacion!L30</f>
        <v>60</v>
      </c>
      <c r="V30" s="60" t="str">
        <f t="shared" si="7"/>
        <v>60331</v>
      </c>
    </row>
    <row r="31" spans="1:22" ht="12.75" customHeight="1" x14ac:dyDescent="0.15">
      <c r="A31" s="42">
        <f>+Solver!A35</f>
        <v>61</v>
      </c>
      <c r="B31" s="41">
        <f>+Solver!D35</f>
        <v>1</v>
      </c>
      <c r="C31" s="41">
        <f>+Solver!E35</f>
        <v>0</v>
      </c>
      <c r="D31" s="41">
        <f>+Solver!F35</f>
        <v>0</v>
      </c>
      <c r="E31" s="44">
        <f>+Solver!G35</f>
        <v>0</v>
      </c>
      <c r="G31" s="29"/>
      <c r="L31" s="35">
        <f t="shared" si="0"/>
        <v>61</v>
      </c>
      <c r="M31" s="64">
        <f t="shared" si="2"/>
        <v>60331</v>
      </c>
      <c r="N31" s="64" t="str">
        <f t="shared" si="3"/>
        <v/>
      </c>
      <c r="O31" s="64" t="str">
        <f t="shared" si="4"/>
        <v/>
      </c>
      <c r="P31" s="64" t="str">
        <f t="shared" si="5"/>
        <v/>
      </c>
      <c r="Q31" s="59" t="str">
        <f t="shared" si="6"/>
        <v>60331</v>
      </c>
      <c r="S31" s="49" t="str">
        <f>+Solver!$J$2</f>
        <v>03398</v>
      </c>
      <c r="T31" s="46">
        <f>+Solver!$I$2</f>
        <v>271503000</v>
      </c>
      <c r="U31" s="51">
        <f>Asignacion!L31</f>
        <v>61</v>
      </c>
      <c r="V31" s="60" t="str">
        <f t="shared" si="7"/>
        <v>60331</v>
      </c>
    </row>
    <row r="32" spans="1:22" ht="12.75" customHeight="1" x14ac:dyDescent="0.15">
      <c r="A32" s="40">
        <f>+Solver!A36</f>
        <v>63</v>
      </c>
      <c r="B32" s="41">
        <f>+Solver!D36</f>
        <v>1</v>
      </c>
      <c r="C32" s="41">
        <f>+Solver!E36</f>
        <v>0</v>
      </c>
      <c r="D32" s="41">
        <f>+Solver!F36</f>
        <v>0</v>
      </c>
      <c r="E32" s="44">
        <f>+Solver!G36</f>
        <v>0</v>
      </c>
      <c r="G32" s="29"/>
      <c r="L32" s="34">
        <f t="shared" si="0"/>
        <v>63</v>
      </c>
      <c r="M32" s="64">
        <f t="shared" si="2"/>
        <v>60331</v>
      </c>
      <c r="N32" s="64" t="str">
        <f t="shared" si="3"/>
        <v/>
      </c>
      <c r="O32" s="64" t="str">
        <f t="shared" si="4"/>
        <v/>
      </c>
      <c r="P32" s="64" t="str">
        <f t="shared" si="5"/>
        <v/>
      </c>
      <c r="Q32" s="59" t="str">
        <f t="shared" si="6"/>
        <v>60331</v>
      </c>
      <c r="S32" s="49" t="str">
        <f>+Solver!$J$2</f>
        <v>03398</v>
      </c>
      <c r="T32" s="46">
        <f>+Solver!$I$2</f>
        <v>271503000</v>
      </c>
      <c r="U32" s="50">
        <f>Asignacion!L32</f>
        <v>63</v>
      </c>
      <c r="V32" s="60" t="str">
        <f t="shared" si="7"/>
        <v>60331</v>
      </c>
    </row>
    <row r="33" spans="1:22" ht="12.75" customHeight="1" x14ac:dyDescent="0.15">
      <c r="A33" s="42">
        <f>+Solver!A37</f>
        <v>301</v>
      </c>
      <c r="B33" s="41">
        <f>+Solver!D37</f>
        <v>1</v>
      </c>
      <c r="C33" s="41">
        <f>+Solver!E37</f>
        <v>0</v>
      </c>
      <c r="D33" s="41">
        <f>+Solver!F37</f>
        <v>0</v>
      </c>
      <c r="E33" s="44">
        <f>+Solver!G37</f>
        <v>0</v>
      </c>
      <c r="G33" s="29"/>
      <c r="L33" s="35">
        <f t="shared" si="0"/>
        <v>301</v>
      </c>
      <c r="M33" s="64">
        <f t="shared" si="2"/>
        <v>60331</v>
      </c>
      <c r="N33" s="64" t="str">
        <f t="shared" si="3"/>
        <v/>
      </c>
      <c r="O33" s="64" t="str">
        <f t="shared" si="4"/>
        <v/>
      </c>
      <c r="P33" s="64" t="str">
        <f t="shared" si="5"/>
        <v/>
      </c>
      <c r="Q33" s="59" t="str">
        <f t="shared" si="6"/>
        <v>60331</v>
      </c>
      <c r="S33" s="49" t="str">
        <f>+Solver!$J$2</f>
        <v>03398</v>
      </c>
      <c r="T33" s="46">
        <f>+Solver!$I$2</f>
        <v>271503000</v>
      </c>
      <c r="U33" s="51">
        <f>Asignacion!L33</f>
        <v>301</v>
      </c>
      <c r="V33" s="60" t="str">
        <f t="shared" si="7"/>
        <v>60331</v>
      </c>
    </row>
    <row r="34" spans="1:22" ht="12.75" customHeight="1" x14ac:dyDescent="0.15">
      <c r="A34" s="40">
        <f>+Solver!A38</f>
        <v>315</v>
      </c>
      <c r="B34" s="41">
        <f>+Solver!D38</f>
        <v>1</v>
      </c>
      <c r="C34" s="41">
        <f>+Solver!E38</f>
        <v>0</v>
      </c>
      <c r="D34" s="41">
        <f>+Solver!F38</f>
        <v>0</v>
      </c>
      <c r="E34" s="44">
        <f>+Solver!G38</f>
        <v>0</v>
      </c>
      <c r="G34" s="29"/>
      <c r="L34" s="34">
        <f t="shared" si="0"/>
        <v>315</v>
      </c>
      <c r="M34" s="64">
        <f t="shared" si="2"/>
        <v>60331</v>
      </c>
      <c r="N34" s="64" t="str">
        <f t="shared" si="3"/>
        <v/>
      </c>
      <c r="O34" s="64" t="str">
        <f t="shared" si="4"/>
        <v/>
      </c>
      <c r="P34" s="64" t="str">
        <f t="shared" si="5"/>
        <v/>
      </c>
      <c r="Q34" s="59" t="str">
        <f t="shared" si="6"/>
        <v>60331</v>
      </c>
      <c r="S34" s="49" t="str">
        <f>+Solver!$J$2</f>
        <v>03398</v>
      </c>
      <c r="T34" s="46">
        <f>+Solver!$I$2</f>
        <v>271503000</v>
      </c>
      <c r="U34" s="50">
        <f>Asignacion!L34</f>
        <v>315</v>
      </c>
      <c r="V34" s="60" t="str">
        <f t="shared" si="7"/>
        <v>60331</v>
      </c>
    </row>
    <row r="35" spans="1:22" ht="12.75" customHeight="1" x14ac:dyDescent="0.15">
      <c r="A35" s="42">
        <f>+Solver!A39</f>
        <v>316</v>
      </c>
      <c r="B35" s="41">
        <f>+Solver!D39</f>
        <v>1</v>
      </c>
      <c r="C35" s="41">
        <f>+Solver!E39</f>
        <v>0</v>
      </c>
      <c r="D35" s="41">
        <f>+Solver!F39</f>
        <v>0</v>
      </c>
      <c r="E35" s="44">
        <f>+Solver!G39</f>
        <v>0</v>
      </c>
      <c r="G35" s="29"/>
      <c r="L35" s="35">
        <f t="shared" si="0"/>
        <v>316</v>
      </c>
      <c r="M35" s="64">
        <f t="shared" si="2"/>
        <v>60331</v>
      </c>
      <c r="N35" s="64" t="str">
        <f t="shared" si="3"/>
        <v/>
      </c>
      <c r="O35" s="64" t="str">
        <f t="shared" si="4"/>
        <v/>
      </c>
      <c r="P35" s="64" t="str">
        <f t="shared" si="5"/>
        <v/>
      </c>
      <c r="Q35" s="59" t="str">
        <f t="shared" si="6"/>
        <v>60331</v>
      </c>
      <c r="S35" s="49" t="str">
        <f>+Solver!$J$2</f>
        <v>03398</v>
      </c>
      <c r="T35" s="46">
        <f>+Solver!$I$2</f>
        <v>271503000</v>
      </c>
      <c r="U35" s="51">
        <f>Asignacion!L35</f>
        <v>316</v>
      </c>
      <c r="V35" s="60" t="str">
        <f t="shared" si="7"/>
        <v>60331</v>
      </c>
    </row>
    <row r="36" spans="1:22" ht="12.75" customHeight="1" x14ac:dyDescent="0.15">
      <c r="A36" s="40">
        <f>+Solver!A40</f>
        <v>317</v>
      </c>
      <c r="B36" s="41">
        <f>+Solver!D40</f>
        <v>1</v>
      </c>
      <c r="C36" s="41">
        <f>+Solver!E40</f>
        <v>0</v>
      </c>
      <c r="D36" s="41">
        <f>+Solver!F40</f>
        <v>0</v>
      </c>
      <c r="E36" s="44">
        <f>+Solver!G40</f>
        <v>0</v>
      </c>
      <c r="G36" s="29"/>
      <c r="L36" s="34">
        <f t="shared" ref="L36:L38" si="8">A36</f>
        <v>317</v>
      </c>
      <c r="M36" s="64">
        <f t="shared" si="2"/>
        <v>60331</v>
      </c>
      <c r="N36" s="64" t="str">
        <f t="shared" si="3"/>
        <v/>
      </c>
      <c r="O36" s="64" t="str">
        <f t="shared" si="4"/>
        <v/>
      </c>
      <c r="P36" s="64" t="str">
        <f t="shared" si="5"/>
        <v/>
      </c>
      <c r="Q36" s="59" t="str">
        <f t="shared" si="6"/>
        <v>60331</v>
      </c>
      <c r="S36" s="49" t="str">
        <f>+Solver!$J$2</f>
        <v>03398</v>
      </c>
      <c r="T36" s="46">
        <f>+Solver!$I$2</f>
        <v>271503000</v>
      </c>
      <c r="U36" s="50">
        <f>Asignacion!L36</f>
        <v>317</v>
      </c>
      <c r="V36" s="60" t="str">
        <f t="shared" si="7"/>
        <v>60331</v>
      </c>
    </row>
    <row r="37" spans="1:22" ht="12.75" customHeight="1" x14ac:dyDescent="0.15">
      <c r="A37" s="42">
        <f>+Solver!A41</f>
        <v>0</v>
      </c>
      <c r="B37" s="41">
        <f>+Solver!D41</f>
        <v>1</v>
      </c>
      <c r="C37" s="41">
        <f>+Solver!E41</f>
        <v>0</v>
      </c>
      <c r="D37" s="41">
        <f>+Solver!F41</f>
        <v>0</v>
      </c>
      <c r="E37" s="44">
        <f>+Solver!G41</f>
        <v>0</v>
      </c>
      <c r="G37" s="29"/>
      <c r="L37" s="35">
        <f t="shared" si="8"/>
        <v>0</v>
      </c>
      <c r="M37" s="64">
        <f t="shared" si="2"/>
        <v>60331</v>
      </c>
      <c r="N37" s="64" t="str">
        <f t="shared" si="3"/>
        <v/>
      </c>
      <c r="O37" s="64" t="str">
        <f t="shared" si="4"/>
        <v/>
      </c>
      <c r="P37" s="64" t="str">
        <f t="shared" si="5"/>
        <v/>
      </c>
      <c r="Q37" s="59" t="str">
        <f t="shared" si="6"/>
        <v>Borrar1</v>
      </c>
      <c r="S37" s="49" t="str">
        <f>+Solver!$J$2</f>
        <v>03398</v>
      </c>
      <c r="T37" s="46">
        <f>+Solver!$I$2</f>
        <v>271503000</v>
      </c>
      <c r="U37" s="51">
        <f>Asignacion!L37</f>
        <v>0</v>
      </c>
      <c r="V37" s="60" t="str">
        <f t="shared" si="7"/>
        <v>Borrar1</v>
      </c>
    </row>
    <row r="38" spans="1:22" ht="12.75" customHeight="1" x14ac:dyDescent="0.15">
      <c r="A38" s="40">
        <f>+Solver!A42</f>
        <v>0</v>
      </c>
      <c r="B38" s="41">
        <f>+Solver!D42</f>
        <v>1</v>
      </c>
      <c r="C38" s="41">
        <f>+Solver!E42</f>
        <v>0</v>
      </c>
      <c r="D38" s="41">
        <f>+Solver!F42</f>
        <v>0</v>
      </c>
      <c r="E38" s="44">
        <f>+Solver!G42</f>
        <v>0</v>
      </c>
      <c r="G38" s="29"/>
      <c r="L38" s="34">
        <f t="shared" si="8"/>
        <v>0</v>
      </c>
      <c r="M38" s="64">
        <f t="shared" si="2"/>
        <v>60331</v>
      </c>
      <c r="N38" s="64" t="str">
        <f t="shared" si="3"/>
        <v/>
      </c>
      <c r="O38" s="64" t="str">
        <f t="shared" si="4"/>
        <v/>
      </c>
      <c r="P38" s="64" t="str">
        <f t="shared" si="5"/>
        <v/>
      </c>
      <c r="Q38" s="59" t="str">
        <f t="shared" si="6"/>
        <v>Borrar1</v>
      </c>
      <c r="S38" s="49" t="str">
        <f>+Solver!$J$2</f>
        <v>03398</v>
      </c>
      <c r="T38" s="46">
        <f>+Solver!$I$2</f>
        <v>271503000</v>
      </c>
      <c r="U38" s="50">
        <f>Asignacion!L38</f>
        <v>0</v>
      </c>
      <c r="V38" s="60" t="str">
        <f t="shared" si="7"/>
        <v>Borrar1</v>
      </c>
    </row>
    <row r="39" spans="1:22" ht="12.75" customHeight="1" x14ac:dyDescent="0.15">
      <c r="A39" s="42">
        <f>+Solver!A43</f>
        <v>0</v>
      </c>
      <c r="B39" s="41">
        <f>+Solver!D43</f>
        <v>1</v>
      </c>
      <c r="C39" s="41">
        <f>+Solver!E43</f>
        <v>0</v>
      </c>
      <c r="D39" s="41">
        <f>+Solver!F43</f>
        <v>0</v>
      </c>
      <c r="E39" s="44">
        <f>+Solver!G43</f>
        <v>0</v>
      </c>
      <c r="G39" s="29"/>
      <c r="L39" s="35">
        <f t="shared" ref="L39:L46" si="9">A39</f>
        <v>0</v>
      </c>
      <c r="M39" s="64">
        <f t="shared" si="2"/>
        <v>60331</v>
      </c>
      <c r="N39" s="64" t="str">
        <f t="shared" si="3"/>
        <v/>
      </c>
      <c r="O39" s="64" t="str">
        <f t="shared" si="4"/>
        <v/>
      </c>
      <c r="P39" s="64" t="str">
        <f t="shared" si="5"/>
        <v/>
      </c>
      <c r="Q39" s="59" t="str">
        <f t="shared" si="6"/>
        <v>Borrar1</v>
      </c>
      <c r="S39" s="49" t="str">
        <f>+Solver!$J$2</f>
        <v>03398</v>
      </c>
      <c r="T39" s="46">
        <f>+Solver!$I$2</f>
        <v>271503000</v>
      </c>
      <c r="U39" s="51">
        <f>Asignacion!L39</f>
        <v>0</v>
      </c>
      <c r="V39" s="60" t="str">
        <f t="shared" si="7"/>
        <v>Borrar1</v>
      </c>
    </row>
    <row r="40" spans="1:22" ht="12.75" customHeight="1" x14ac:dyDescent="0.15">
      <c r="A40" s="40">
        <f>+Solver!A44</f>
        <v>0</v>
      </c>
      <c r="B40" s="41">
        <f>+Solver!D44</f>
        <v>1</v>
      </c>
      <c r="C40" s="41">
        <f>+Solver!E44</f>
        <v>0</v>
      </c>
      <c r="D40" s="41">
        <f>+Solver!F44</f>
        <v>0</v>
      </c>
      <c r="E40" s="44">
        <f>+Solver!G44</f>
        <v>0</v>
      </c>
      <c r="G40" s="29"/>
      <c r="L40" s="34">
        <f t="shared" si="9"/>
        <v>0</v>
      </c>
      <c r="M40" s="64">
        <f t="shared" si="2"/>
        <v>60331</v>
      </c>
      <c r="N40" s="64" t="str">
        <f t="shared" si="3"/>
        <v/>
      </c>
      <c r="O40" s="64" t="str">
        <f t="shared" si="4"/>
        <v/>
      </c>
      <c r="P40" s="64" t="str">
        <f t="shared" si="5"/>
        <v/>
      </c>
      <c r="Q40" s="59" t="str">
        <f t="shared" si="6"/>
        <v>Borrar1</v>
      </c>
      <c r="S40" s="49" t="str">
        <f>+Solver!$J$2</f>
        <v>03398</v>
      </c>
      <c r="T40" s="46">
        <f>+Solver!$I$2</f>
        <v>271503000</v>
      </c>
      <c r="U40" s="50">
        <f>Asignacion!L40</f>
        <v>0</v>
      </c>
      <c r="V40" s="60" t="str">
        <f t="shared" si="7"/>
        <v>Borrar1</v>
      </c>
    </row>
    <row r="41" spans="1:22" x14ac:dyDescent="0.15">
      <c r="A41" s="42">
        <f>+Solver!A45</f>
        <v>0</v>
      </c>
      <c r="B41" s="41">
        <f>+Solver!D45</f>
        <v>1</v>
      </c>
      <c r="C41" s="41">
        <f>+Solver!E45</f>
        <v>0</v>
      </c>
      <c r="D41" s="41">
        <f>+Solver!F45</f>
        <v>0</v>
      </c>
      <c r="E41" s="44">
        <f>+Solver!G45</f>
        <v>0</v>
      </c>
      <c r="L41" s="35">
        <f t="shared" si="9"/>
        <v>0</v>
      </c>
      <c r="M41" s="64">
        <f t="shared" si="2"/>
        <v>60331</v>
      </c>
      <c r="N41" s="64" t="str">
        <f t="shared" si="3"/>
        <v/>
      </c>
      <c r="O41" s="64" t="str">
        <f t="shared" si="4"/>
        <v/>
      </c>
      <c r="P41" s="64" t="str">
        <f t="shared" si="5"/>
        <v/>
      </c>
      <c r="Q41" s="59" t="str">
        <f t="shared" si="6"/>
        <v>Borrar1</v>
      </c>
      <c r="S41" s="49" t="str">
        <f>+Solver!$J$2</f>
        <v>03398</v>
      </c>
      <c r="T41" s="46">
        <f>+Solver!$I$2</f>
        <v>271503000</v>
      </c>
      <c r="U41" s="51">
        <f>Asignacion!L41</f>
        <v>0</v>
      </c>
      <c r="V41" s="60" t="str">
        <f t="shared" si="7"/>
        <v>Borrar1</v>
      </c>
    </row>
    <row r="42" spans="1:22" x14ac:dyDescent="0.15">
      <c r="A42" s="40">
        <f>+Solver!A46</f>
        <v>0</v>
      </c>
      <c r="B42" s="41">
        <f>+Solver!D46</f>
        <v>1</v>
      </c>
      <c r="C42" s="41">
        <f>+Solver!E46</f>
        <v>0</v>
      </c>
      <c r="D42" s="41">
        <f>+Solver!F46</f>
        <v>0</v>
      </c>
      <c r="E42" s="44">
        <f>+Solver!G46</f>
        <v>0</v>
      </c>
      <c r="L42" s="34">
        <f t="shared" si="9"/>
        <v>0</v>
      </c>
      <c r="M42" s="64">
        <f t="shared" si="2"/>
        <v>60331</v>
      </c>
      <c r="N42" s="64" t="str">
        <f t="shared" si="3"/>
        <v/>
      </c>
      <c r="O42" s="64" t="str">
        <f t="shared" si="4"/>
        <v/>
      </c>
      <c r="P42" s="64" t="str">
        <f t="shared" si="5"/>
        <v/>
      </c>
      <c r="Q42" s="59" t="str">
        <f t="shared" si="6"/>
        <v>Borrar1</v>
      </c>
      <c r="S42" s="49" t="str">
        <f>+Solver!$J$2</f>
        <v>03398</v>
      </c>
      <c r="T42" s="46">
        <f>+Solver!$I$2</f>
        <v>271503000</v>
      </c>
      <c r="U42" s="50">
        <f>Asignacion!L42</f>
        <v>0</v>
      </c>
      <c r="V42" s="60" t="str">
        <f t="shared" si="7"/>
        <v>Borrar1</v>
      </c>
    </row>
    <row r="43" spans="1:22" x14ac:dyDescent="0.15">
      <c r="A43" s="42">
        <f>+Solver!A47</f>
        <v>0</v>
      </c>
      <c r="B43" s="41">
        <f>+Solver!D47</f>
        <v>1</v>
      </c>
      <c r="C43" s="41">
        <f>+Solver!E47</f>
        <v>0</v>
      </c>
      <c r="D43" s="41">
        <f>+Solver!F47</f>
        <v>0</v>
      </c>
      <c r="E43" s="44">
        <f>+Solver!G47</f>
        <v>0</v>
      </c>
      <c r="L43" s="35">
        <f t="shared" si="9"/>
        <v>0</v>
      </c>
      <c r="M43" s="64">
        <f t="shared" si="2"/>
        <v>60331</v>
      </c>
      <c r="N43" s="64" t="str">
        <f t="shared" si="3"/>
        <v/>
      </c>
      <c r="O43" s="64" t="str">
        <f t="shared" si="4"/>
        <v/>
      </c>
      <c r="P43" s="64" t="str">
        <f t="shared" si="5"/>
        <v/>
      </c>
      <c r="Q43" s="59" t="str">
        <f t="shared" si="6"/>
        <v>Borrar1</v>
      </c>
      <c r="S43" s="49" t="str">
        <f>+Solver!$J$2</f>
        <v>03398</v>
      </c>
      <c r="T43" s="46">
        <f>+Solver!$I$2</f>
        <v>271503000</v>
      </c>
      <c r="U43" s="51">
        <f>Asignacion!L43</f>
        <v>0</v>
      </c>
      <c r="V43" s="60" t="str">
        <f t="shared" si="7"/>
        <v>Borrar1</v>
      </c>
    </row>
    <row r="44" spans="1:22" x14ac:dyDescent="0.15">
      <c r="A44" s="40">
        <f>+Solver!A48</f>
        <v>0</v>
      </c>
      <c r="B44" s="41">
        <f>+Solver!D48</f>
        <v>1</v>
      </c>
      <c r="C44" s="41">
        <f>+Solver!E48</f>
        <v>0</v>
      </c>
      <c r="D44" s="41">
        <f>+Solver!F48</f>
        <v>0</v>
      </c>
      <c r="E44" s="44">
        <f>+Solver!G48</f>
        <v>0</v>
      </c>
      <c r="L44" s="34">
        <f t="shared" si="9"/>
        <v>0</v>
      </c>
      <c r="M44" s="64">
        <f t="shared" si="2"/>
        <v>60331</v>
      </c>
      <c r="N44" s="64" t="str">
        <f t="shared" si="3"/>
        <v/>
      </c>
      <c r="O44" s="64" t="str">
        <f t="shared" si="4"/>
        <v/>
      </c>
      <c r="P44" s="64" t="str">
        <f t="shared" si="5"/>
        <v/>
      </c>
      <c r="Q44" s="59" t="str">
        <f t="shared" si="6"/>
        <v>Borrar1</v>
      </c>
      <c r="S44" s="49" t="str">
        <f>+Solver!$J$2</f>
        <v>03398</v>
      </c>
      <c r="T44" s="46">
        <f>+Solver!$I$2</f>
        <v>271503000</v>
      </c>
      <c r="U44" s="50">
        <f>Asignacion!L44</f>
        <v>0</v>
      </c>
      <c r="V44" s="60" t="str">
        <f t="shared" si="7"/>
        <v>Borrar1</v>
      </c>
    </row>
    <row r="45" spans="1:22" x14ac:dyDescent="0.15">
      <c r="A45" s="42">
        <f>+Solver!A49</f>
        <v>0</v>
      </c>
      <c r="B45" s="41">
        <f>+Solver!D49</f>
        <v>1</v>
      </c>
      <c r="C45" s="41">
        <f>+Solver!E49</f>
        <v>0</v>
      </c>
      <c r="D45" s="41">
        <f>+Solver!F49</f>
        <v>0</v>
      </c>
      <c r="E45" s="44">
        <f>+Solver!G49</f>
        <v>0</v>
      </c>
      <c r="L45" s="35">
        <f t="shared" si="9"/>
        <v>0</v>
      </c>
      <c r="M45" s="64">
        <f t="shared" si="2"/>
        <v>60331</v>
      </c>
      <c r="N45" s="64" t="str">
        <f t="shared" si="3"/>
        <v/>
      </c>
      <c r="O45" s="64" t="str">
        <f t="shared" si="4"/>
        <v/>
      </c>
      <c r="P45" s="64" t="str">
        <f t="shared" si="5"/>
        <v/>
      </c>
      <c r="Q45" s="59" t="str">
        <f t="shared" si="6"/>
        <v>Borrar1</v>
      </c>
      <c r="S45" s="49" t="str">
        <f>+Solver!$J$2</f>
        <v>03398</v>
      </c>
      <c r="T45" s="46">
        <f>+Solver!$I$2</f>
        <v>271503000</v>
      </c>
      <c r="U45" s="51">
        <f>Asignacion!L45</f>
        <v>0</v>
      </c>
      <c r="V45" s="60" t="str">
        <f t="shared" si="7"/>
        <v>Borrar1</v>
      </c>
    </row>
    <row r="46" spans="1:22" ht="14" thickBot="1" x14ac:dyDescent="0.2">
      <c r="A46" s="43">
        <f>+Solver!A50</f>
        <v>0</v>
      </c>
      <c r="B46" s="36">
        <f>+Solver!D50</f>
        <v>1</v>
      </c>
      <c r="C46" s="36">
        <f>+Solver!E50</f>
        <v>0</v>
      </c>
      <c r="D46" s="36">
        <f>+Solver!F50</f>
        <v>0</v>
      </c>
      <c r="E46" s="45">
        <f>+Solver!G50</f>
        <v>0</v>
      </c>
      <c r="L46" s="43">
        <f t="shared" si="9"/>
        <v>0</v>
      </c>
      <c r="M46" s="36">
        <f t="shared" si="2"/>
        <v>60331</v>
      </c>
      <c r="N46" s="36" t="str">
        <f t="shared" si="3"/>
        <v/>
      </c>
      <c r="O46" s="36" t="str">
        <f t="shared" si="4"/>
        <v/>
      </c>
      <c r="P46" s="36" t="str">
        <f t="shared" si="5"/>
        <v/>
      </c>
      <c r="Q46" s="59" t="str">
        <f t="shared" si="6"/>
        <v>Borrar1</v>
      </c>
      <c r="S46" s="52" t="str">
        <f>+Solver!$J$2</f>
        <v>03398</v>
      </c>
      <c r="T46" s="47">
        <f>+Solver!$I$2</f>
        <v>271503000</v>
      </c>
      <c r="U46" s="53">
        <f>Asignacion!L46</f>
        <v>0</v>
      </c>
      <c r="V46" s="61" t="str">
        <f t="shared" si="7"/>
        <v>Borrar1</v>
      </c>
    </row>
    <row r="86" spans="1:3" x14ac:dyDescent="0.15">
      <c r="A86"/>
      <c r="B86"/>
      <c r="C86"/>
    </row>
    <row r="87" spans="1:3" x14ac:dyDescent="0.15">
      <c r="A87"/>
      <c r="B87"/>
      <c r="C87"/>
    </row>
    <row r="88" spans="1:3" x14ac:dyDescent="0.15">
      <c r="A88"/>
      <c r="B88"/>
      <c r="C88"/>
    </row>
    <row r="89" spans="1:3" x14ac:dyDescent="0.15">
      <c r="A89"/>
      <c r="B89"/>
      <c r="C89"/>
    </row>
    <row r="90" spans="1:3" x14ac:dyDescent="0.15">
      <c r="A90"/>
      <c r="B90"/>
      <c r="C90"/>
    </row>
    <row r="91" spans="1:3" x14ac:dyDescent="0.15">
      <c r="A91"/>
      <c r="B91"/>
      <c r="C91"/>
    </row>
    <row r="92" spans="1:3" x14ac:dyDescent="0.15">
      <c r="A92"/>
      <c r="B92"/>
      <c r="C92"/>
    </row>
    <row r="93" spans="1:3" x14ac:dyDescent="0.15">
      <c r="A93"/>
      <c r="B93"/>
      <c r="C93"/>
    </row>
    <row r="94" spans="1:3" x14ac:dyDescent="0.15">
      <c r="A94"/>
      <c r="B94"/>
      <c r="C94"/>
    </row>
    <row r="95" spans="1:3" x14ac:dyDescent="0.15">
      <c r="A95"/>
      <c r="B95"/>
      <c r="C95"/>
    </row>
    <row r="96" spans="1:3" x14ac:dyDescent="0.15">
      <c r="A96"/>
      <c r="B96"/>
      <c r="C96"/>
    </row>
    <row r="97" spans="1:3" x14ac:dyDescent="0.15">
      <c r="A97"/>
      <c r="B97"/>
      <c r="C97"/>
    </row>
    <row r="98" spans="1:3" x14ac:dyDescent="0.15">
      <c r="A98"/>
      <c r="B98"/>
      <c r="C98"/>
    </row>
    <row r="99" spans="1:3" x14ac:dyDescent="0.15">
      <c r="A99"/>
      <c r="B99"/>
      <c r="C99"/>
    </row>
    <row r="100" spans="1:3" x14ac:dyDescent="0.15">
      <c r="A100"/>
      <c r="B100"/>
      <c r="C100"/>
    </row>
    <row r="101" spans="1:3" x14ac:dyDescent="0.15">
      <c r="A101"/>
      <c r="B101"/>
      <c r="C101"/>
    </row>
    <row r="102" spans="1:3" x14ac:dyDescent="0.15">
      <c r="A102"/>
      <c r="B102"/>
      <c r="C102"/>
    </row>
    <row r="103" spans="1:3" x14ac:dyDescent="0.15">
      <c r="A103"/>
      <c r="B103"/>
      <c r="C103"/>
    </row>
    <row r="104" spans="1:3" x14ac:dyDescent="0.15">
      <c r="A104"/>
      <c r="B104"/>
      <c r="C104"/>
    </row>
    <row r="105" spans="1:3" x14ac:dyDescent="0.15">
      <c r="A105"/>
      <c r="B105"/>
      <c r="C105"/>
    </row>
    <row r="106" spans="1:3" x14ac:dyDescent="0.15">
      <c r="A106"/>
      <c r="B106"/>
      <c r="C106"/>
    </row>
    <row r="107" spans="1:3" x14ac:dyDescent="0.15">
      <c r="A107"/>
      <c r="B107"/>
      <c r="C107"/>
    </row>
    <row r="108" spans="1:3" x14ac:dyDescent="0.15">
      <c r="A108"/>
      <c r="B108"/>
      <c r="C108"/>
    </row>
    <row r="109" spans="1:3" x14ac:dyDescent="0.15">
      <c r="A109"/>
      <c r="B109"/>
      <c r="C109"/>
    </row>
  </sheetData>
  <conditionalFormatting sqref="V2:V46">
    <cfRule type="cellIs" dxfId="1" priority="1" operator="equal">
      <formula>"Borrar"</formula>
    </cfRule>
    <cfRule type="cellIs" dxfId="0" priority="2" operator="equal">
      <formula>"Borrar"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D181"/>
  <sheetViews>
    <sheetView workbookViewId="0">
      <selection activeCell="A137" sqref="A137:D181"/>
    </sheetView>
  </sheetViews>
  <sheetFormatPr baseColWidth="10" defaultColWidth="11.5" defaultRowHeight="13" x14ac:dyDescent="0.15"/>
  <cols>
    <col min="1" max="1" width="12.5" bestFit="1" customWidth="1"/>
    <col min="2" max="2" width="10.5" bestFit="1" customWidth="1"/>
  </cols>
  <sheetData>
    <row r="1" spans="1:4" ht="15" x14ac:dyDescent="0.2">
      <c r="A1" s="55" t="s">
        <v>27</v>
      </c>
      <c r="B1" s="55" t="s">
        <v>3</v>
      </c>
      <c r="C1" s="55" t="s">
        <v>4</v>
      </c>
      <c r="D1" s="55" t="s">
        <v>2</v>
      </c>
    </row>
    <row r="2" spans="1:4" x14ac:dyDescent="0.15">
      <c r="A2" t="s">
        <v>39</v>
      </c>
      <c r="B2">
        <v>270801000</v>
      </c>
      <c r="C2">
        <v>1</v>
      </c>
      <c r="D2" t="s">
        <v>40</v>
      </c>
    </row>
    <row r="3" spans="1:4" x14ac:dyDescent="0.15">
      <c r="A3" t="s">
        <v>39</v>
      </c>
      <c r="B3">
        <v>270801000</v>
      </c>
      <c r="C3">
        <v>4</v>
      </c>
      <c r="D3" t="s">
        <v>41</v>
      </c>
    </row>
    <row r="4" spans="1:4" x14ac:dyDescent="0.15">
      <c r="A4" t="s">
        <v>39</v>
      </c>
      <c r="B4">
        <v>270801000</v>
      </c>
      <c r="C4">
        <v>15</v>
      </c>
      <c r="D4" t="s">
        <v>41</v>
      </c>
    </row>
    <row r="5" spans="1:4" x14ac:dyDescent="0.15">
      <c r="A5" t="s">
        <v>39</v>
      </c>
      <c r="B5">
        <v>270801000</v>
      </c>
      <c r="C5">
        <v>19</v>
      </c>
      <c r="D5" t="s">
        <v>41</v>
      </c>
    </row>
    <row r="6" spans="1:4" x14ac:dyDescent="0.15">
      <c r="A6" t="s">
        <v>39</v>
      </c>
      <c r="B6">
        <v>270801000</v>
      </c>
      <c r="C6">
        <v>20</v>
      </c>
      <c r="D6" t="s">
        <v>41</v>
      </c>
    </row>
    <row r="7" spans="1:4" x14ac:dyDescent="0.15">
      <c r="A7" t="s">
        <v>39</v>
      </c>
      <c r="B7">
        <v>270801000</v>
      </c>
      <c r="C7">
        <v>27</v>
      </c>
      <c r="D7" t="s">
        <v>40</v>
      </c>
    </row>
    <row r="8" spans="1:4" x14ac:dyDescent="0.15">
      <c r="A8" t="s">
        <v>39</v>
      </c>
      <c r="B8">
        <v>270801000</v>
      </c>
      <c r="C8">
        <v>31</v>
      </c>
      <c r="D8" t="s">
        <v>41</v>
      </c>
    </row>
    <row r="9" spans="1:4" x14ac:dyDescent="0.15">
      <c r="A9" t="s">
        <v>39</v>
      </c>
      <c r="B9">
        <v>270801000</v>
      </c>
      <c r="C9">
        <v>49</v>
      </c>
      <c r="D9" t="s">
        <v>40</v>
      </c>
    </row>
    <row r="10" spans="1:4" x14ac:dyDescent="0.15">
      <c r="A10" t="s">
        <v>39</v>
      </c>
      <c r="B10">
        <v>270801000</v>
      </c>
      <c r="C10">
        <v>59</v>
      </c>
      <c r="D10" t="s">
        <v>41</v>
      </c>
    </row>
    <row r="11" spans="1:4" x14ac:dyDescent="0.15">
      <c r="A11" t="s">
        <v>39</v>
      </c>
      <c r="B11">
        <v>270801000</v>
      </c>
      <c r="C11">
        <v>64</v>
      </c>
      <c r="D11" t="s">
        <v>41</v>
      </c>
    </row>
    <row r="12" spans="1:4" x14ac:dyDescent="0.15">
      <c r="A12" t="s">
        <v>39</v>
      </c>
      <c r="B12">
        <v>270801000</v>
      </c>
      <c r="C12">
        <v>304</v>
      </c>
      <c r="D12" t="s">
        <v>40</v>
      </c>
    </row>
    <row r="13" spans="1:4" x14ac:dyDescent="0.15">
      <c r="A13" t="s">
        <v>39</v>
      </c>
      <c r="B13">
        <v>270801000</v>
      </c>
      <c r="C13">
        <v>307</v>
      </c>
      <c r="D13" t="s">
        <v>41</v>
      </c>
    </row>
    <row r="14" spans="1:4" x14ac:dyDescent="0.15">
      <c r="A14" t="s">
        <v>39</v>
      </c>
      <c r="B14">
        <v>270801000</v>
      </c>
      <c r="C14">
        <v>309</v>
      </c>
      <c r="D14" t="s">
        <v>40</v>
      </c>
    </row>
    <row r="15" spans="1:4" x14ac:dyDescent="0.15">
      <c r="A15" t="s">
        <v>39</v>
      </c>
      <c r="B15">
        <v>270801000</v>
      </c>
      <c r="C15">
        <v>313</v>
      </c>
      <c r="D15" t="s">
        <v>41</v>
      </c>
    </row>
    <row r="16" spans="1:4" x14ac:dyDescent="0.15">
      <c r="A16" t="s">
        <v>39</v>
      </c>
      <c r="B16">
        <v>270801000</v>
      </c>
      <c r="C16">
        <v>322</v>
      </c>
      <c r="D16" t="s">
        <v>41</v>
      </c>
    </row>
    <row r="17" spans="1:4" x14ac:dyDescent="0.15">
      <c r="A17" t="s">
        <v>39</v>
      </c>
      <c r="B17">
        <v>270801000</v>
      </c>
      <c r="C17">
        <v>329</v>
      </c>
      <c r="D17" t="s">
        <v>42</v>
      </c>
    </row>
    <row r="18" spans="1:4" x14ac:dyDescent="0.15">
      <c r="A18" t="s">
        <v>39</v>
      </c>
      <c r="B18">
        <v>270801000</v>
      </c>
      <c r="C18">
        <v>406</v>
      </c>
      <c r="D18" t="s">
        <v>40</v>
      </c>
    </row>
    <row r="19" spans="1:4" x14ac:dyDescent="0.15">
      <c r="A19" t="s">
        <v>39</v>
      </c>
      <c r="B19">
        <v>270801000</v>
      </c>
      <c r="C19">
        <v>2</v>
      </c>
      <c r="D19" t="s">
        <v>41</v>
      </c>
    </row>
    <row r="20" spans="1:4" x14ac:dyDescent="0.15">
      <c r="A20" t="s">
        <v>39</v>
      </c>
      <c r="B20">
        <v>270801000</v>
      </c>
      <c r="C20">
        <v>3</v>
      </c>
      <c r="D20" t="s">
        <v>41</v>
      </c>
    </row>
    <row r="21" spans="1:4" x14ac:dyDescent="0.15">
      <c r="A21" t="s">
        <v>39</v>
      </c>
      <c r="B21">
        <v>270801000</v>
      </c>
      <c r="C21">
        <v>25</v>
      </c>
      <c r="D21" t="s">
        <v>40</v>
      </c>
    </row>
    <row r="22" spans="1:4" x14ac:dyDescent="0.15">
      <c r="A22" t="s">
        <v>39</v>
      </c>
      <c r="B22">
        <v>270801000</v>
      </c>
      <c r="C22">
        <v>34</v>
      </c>
      <c r="D22" t="s">
        <v>40</v>
      </c>
    </row>
    <row r="23" spans="1:4" x14ac:dyDescent="0.15">
      <c r="A23" t="s">
        <v>39</v>
      </c>
      <c r="B23">
        <v>270801000</v>
      </c>
      <c r="C23">
        <v>40</v>
      </c>
      <c r="D23" t="s">
        <v>40</v>
      </c>
    </row>
    <row r="24" spans="1:4" x14ac:dyDescent="0.15">
      <c r="A24" t="s">
        <v>39</v>
      </c>
      <c r="B24">
        <v>270801000</v>
      </c>
      <c r="C24">
        <v>46</v>
      </c>
      <c r="D24" t="s">
        <v>40</v>
      </c>
    </row>
    <row r="25" spans="1:4" x14ac:dyDescent="0.15">
      <c r="A25" t="s">
        <v>39</v>
      </c>
      <c r="B25">
        <v>270801000</v>
      </c>
      <c r="C25">
        <v>47</v>
      </c>
      <c r="D25" t="s">
        <v>40</v>
      </c>
    </row>
    <row r="26" spans="1:4" x14ac:dyDescent="0.15">
      <c r="A26" t="s">
        <v>39</v>
      </c>
      <c r="B26">
        <v>270801000</v>
      </c>
      <c r="C26">
        <v>52</v>
      </c>
      <c r="D26" t="s">
        <v>40</v>
      </c>
    </row>
    <row r="27" spans="1:4" x14ac:dyDescent="0.15">
      <c r="A27" t="s">
        <v>39</v>
      </c>
      <c r="B27">
        <v>270801000</v>
      </c>
      <c r="C27">
        <v>53</v>
      </c>
      <c r="D27" t="s">
        <v>41</v>
      </c>
    </row>
    <row r="28" spans="1:4" x14ac:dyDescent="0.15">
      <c r="A28" t="s">
        <v>39</v>
      </c>
      <c r="B28">
        <v>270801000</v>
      </c>
      <c r="C28">
        <v>60</v>
      </c>
      <c r="D28" t="s">
        <v>40</v>
      </c>
    </row>
    <row r="29" spans="1:4" x14ac:dyDescent="0.15">
      <c r="A29" t="s">
        <v>39</v>
      </c>
      <c r="B29">
        <v>270801000</v>
      </c>
      <c r="C29">
        <v>61</v>
      </c>
      <c r="D29" t="s">
        <v>40</v>
      </c>
    </row>
    <row r="30" spans="1:4" x14ac:dyDescent="0.15">
      <c r="A30" t="s">
        <v>39</v>
      </c>
      <c r="B30">
        <v>270801000</v>
      </c>
      <c r="C30">
        <v>63</v>
      </c>
      <c r="D30" t="s">
        <v>41</v>
      </c>
    </row>
    <row r="31" spans="1:4" x14ac:dyDescent="0.15">
      <c r="A31" t="s">
        <v>39</v>
      </c>
      <c r="B31">
        <v>270801000</v>
      </c>
      <c r="C31">
        <v>301</v>
      </c>
      <c r="D31" t="s">
        <v>40</v>
      </c>
    </row>
    <row r="32" spans="1:4" x14ac:dyDescent="0.15">
      <c r="A32" t="s">
        <v>39</v>
      </c>
      <c r="B32">
        <v>270801000</v>
      </c>
      <c r="C32">
        <v>302</v>
      </c>
      <c r="D32" t="s">
        <v>40</v>
      </c>
    </row>
    <row r="33" spans="1:4" x14ac:dyDescent="0.15">
      <c r="A33" t="s">
        <v>39</v>
      </c>
      <c r="B33">
        <v>270801000</v>
      </c>
      <c r="C33">
        <v>317</v>
      </c>
      <c r="D33" t="s">
        <v>40</v>
      </c>
    </row>
    <row r="34" spans="1:4" x14ac:dyDescent="0.15">
      <c r="A34" t="s">
        <v>39</v>
      </c>
      <c r="B34">
        <v>270801000</v>
      </c>
      <c r="C34">
        <v>0</v>
      </c>
      <c r="D34" t="s">
        <v>43</v>
      </c>
    </row>
    <row r="35" spans="1:4" x14ac:dyDescent="0.15">
      <c r="A35" t="s">
        <v>39</v>
      </c>
      <c r="B35">
        <v>270801000</v>
      </c>
      <c r="C35">
        <v>0</v>
      </c>
      <c r="D35" t="s">
        <v>43</v>
      </c>
    </row>
    <row r="36" spans="1:4" x14ac:dyDescent="0.15">
      <c r="A36" t="s">
        <v>39</v>
      </c>
      <c r="B36">
        <v>270801000</v>
      </c>
      <c r="C36">
        <v>0</v>
      </c>
      <c r="D36" t="s">
        <v>43</v>
      </c>
    </row>
    <row r="37" spans="1:4" x14ac:dyDescent="0.15">
      <c r="A37" t="s">
        <v>39</v>
      </c>
      <c r="B37">
        <v>270801000</v>
      </c>
      <c r="C37">
        <v>0</v>
      </c>
      <c r="D37" t="s">
        <v>43</v>
      </c>
    </row>
    <row r="38" spans="1:4" x14ac:dyDescent="0.15">
      <c r="A38" t="s">
        <v>39</v>
      </c>
      <c r="B38">
        <v>270801000</v>
      </c>
      <c r="C38">
        <v>0</v>
      </c>
      <c r="D38" t="s">
        <v>43</v>
      </c>
    </row>
    <row r="39" spans="1:4" x14ac:dyDescent="0.15">
      <c r="A39" t="s">
        <v>39</v>
      </c>
      <c r="B39">
        <v>270801000</v>
      </c>
      <c r="C39">
        <v>0</v>
      </c>
      <c r="D39" t="s">
        <v>43</v>
      </c>
    </row>
    <row r="40" spans="1:4" x14ac:dyDescent="0.15">
      <c r="A40" t="s">
        <v>39</v>
      </c>
      <c r="B40">
        <v>270801000</v>
      </c>
      <c r="C40">
        <v>0</v>
      </c>
      <c r="D40" t="s">
        <v>43</v>
      </c>
    </row>
    <row r="41" spans="1:4" x14ac:dyDescent="0.15">
      <c r="A41" t="s">
        <v>39</v>
      </c>
      <c r="B41">
        <v>270801000</v>
      </c>
      <c r="C41">
        <v>0</v>
      </c>
      <c r="D41" t="s">
        <v>43</v>
      </c>
    </row>
    <row r="42" spans="1:4" x14ac:dyDescent="0.15">
      <c r="A42" t="s">
        <v>39</v>
      </c>
      <c r="B42">
        <v>270801000</v>
      </c>
      <c r="C42">
        <v>0</v>
      </c>
      <c r="D42" t="s">
        <v>43</v>
      </c>
    </row>
    <row r="43" spans="1:4" x14ac:dyDescent="0.15">
      <c r="A43" t="s">
        <v>39</v>
      </c>
      <c r="B43">
        <v>270801000</v>
      </c>
      <c r="C43">
        <v>0</v>
      </c>
      <c r="D43" t="s">
        <v>43</v>
      </c>
    </row>
    <row r="44" spans="1:4" x14ac:dyDescent="0.15">
      <c r="A44" t="s">
        <v>39</v>
      </c>
      <c r="B44">
        <v>270801000</v>
      </c>
      <c r="C44">
        <v>0</v>
      </c>
      <c r="D44" t="s">
        <v>43</v>
      </c>
    </row>
    <row r="45" spans="1:4" x14ac:dyDescent="0.15">
      <c r="A45" t="s">
        <v>39</v>
      </c>
      <c r="B45">
        <v>270801000</v>
      </c>
      <c r="C45">
        <v>0</v>
      </c>
      <c r="D45" t="s">
        <v>43</v>
      </c>
    </row>
    <row r="46" spans="1:4" x14ac:dyDescent="0.15">
      <c r="A46" t="s">
        <v>39</v>
      </c>
      <c r="B46">
        <v>270801000</v>
      </c>
      <c r="C46">
        <v>0</v>
      </c>
      <c r="D46" t="s">
        <v>43</v>
      </c>
    </row>
    <row r="47" spans="1:4" x14ac:dyDescent="0.15">
      <c r="A47" t="s">
        <v>39</v>
      </c>
      <c r="B47">
        <v>270803000</v>
      </c>
      <c r="C47">
        <v>1</v>
      </c>
      <c r="D47" t="s">
        <v>42</v>
      </c>
    </row>
    <row r="48" spans="1:4" x14ac:dyDescent="0.15">
      <c r="A48" t="s">
        <v>39</v>
      </c>
      <c r="B48">
        <v>270803000</v>
      </c>
      <c r="C48">
        <v>4</v>
      </c>
      <c r="D48" t="s">
        <v>44</v>
      </c>
    </row>
    <row r="49" spans="1:4" x14ac:dyDescent="0.15">
      <c r="A49" t="s">
        <v>39</v>
      </c>
      <c r="B49">
        <v>270803000</v>
      </c>
      <c r="C49">
        <v>8</v>
      </c>
      <c r="D49" t="s">
        <v>44</v>
      </c>
    </row>
    <row r="50" spans="1:4" x14ac:dyDescent="0.15">
      <c r="A50" t="s">
        <v>39</v>
      </c>
      <c r="B50">
        <v>270803000</v>
      </c>
      <c r="C50">
        <v>15</v>
      </c>
      <c r="D50" t="s">
        <v>44</v>
      </c>
    </row>
    <row r="51" spans="1:4" x14ac:dyDescent="0.15">
      <c r="A51" t="s">
        <v>39</v>
      </c>
      <c r="B51">
        <v>270803000</v>
      </c>
      <c r="C51">
        <v>20</v>
      </c>
      <c r="D51" t="s">
        <v>44</v>
      </c>
    </row>
    <row r="52" spans="1:4" x14ac:dyDescent="0.15">
      <c r="A52" t="s">
        <v>39</v>
      </c>
      <c r="B52">
        <v>270803000</v>
      </c>
      <c r="C52">
        <v>27</v>
      </c>
      <c r="D52" t="s">
        <v>42</v>
      </c>
    </row>
    <row r="53" spans="1:4" x14ac:dyDescent="0.15">
      <c r="A53" t="s">
        <v>39</v>
      </c>
      <c r="B53">
        <v>270803000</v>
      </c>
      <c r="C53">
        <v>31</v>
      </c>
      <c r="D53" t="s">
        <v>42</v>
      </c>
    </row>
    <row r="54" spans="1:4" x14ac:dyDescent="0.15">
      <c r="A54" t="s">
        <v>39</v>
      </c>
      <c r="B54">
        <v>270803000</v>
      </c>
      <c r="C54">
        <v>32</v>
      </c>
      <c r="D54" t="s">
        <v>44</v>
      </c>
    </row>
    <row r="55" spans="1:4" x14ac:dyDescent="0.15">
      <c r="A55" t="s">
        <v>39</v>
      </c>
      <c r="B55">
        <v>270803000</v>
      </c>
      <c r="C55">
        <v>49</v>
      </c>
      <c r="D55" t="s">
        <v>44</v>
      </c>
    </row>
    <row r="56" spans="1:4" x14ac:dyDescent="0.15">
      <c r="A56" t="s">
        <v>39</v>
      </c>
      <c r="B56">
        <v>270803000</v>
      </c>
      <c r="C56">
        <v>59</v>
      </c>
      <c r="D56" t="s">
        <v>44</v>
      </c>
    </row>
    <row r="57" spans="1:4" x14ac:dyDescent="0.15">
      <c r="A57" t="s">
        <v>39</v>
      </c>
      <c r="B57">
        <v>270803000</v>
      </c>
      <c r="C57">
        <v>98</v>
      </c>
      <c r="D57" t="s">
        <v>44</v>
      </c>
    </row>
    <row r="58" spans="1:4" x14ac:dyDescent="0.15">
      <c r="A58" t="s">
        <v>39</v>
      </c>
      <c r="B58">
        <v>270803000</v>
      </c>
      <c r="C58">
        <v>304</v>
      </c>
      <c r="D58" t="s">
        <v>44</v>
      </c>
    </row>
    <row r="59" spans="1:4" x14ac:dyDescent="0.15">
      <c r="A59" t="s">
        <v>39</v>
      </c>
      <c r="B59">
        <v>270803000</v>
      </c>
      <c r="C59">
        <v>305</v>
      </c>
      <c r="D59" t="s">
        <v>44</v>
      </c>
    </row>
    <row r="60" spans="1:4" x14ac:dyDescent="0.15">
      <c r="A60" t="s">
        <v>39</v>
      </c>
      <c r="B60">
        <v>270803000</v>
      </c>
      <c r="C60">
        <v>307</v>
      </c>
      <c r="D60" t="s">
        <v>44</v>
      </c>
    </row>
    <row r="61" spans="1:4" x14ac:dyDescent="0.15">
      <c r="A61" t="s">
        <v>39</v>
      </c>
      <c r="B61">
        <v>270803000</v>
      </c>
      <c r="C61">
        <v>309</v>
      </c>
      <c r="D61" t="s">
        <v>44</v>
      </c>
    </row>
    <row r="62" spans="1:4" x14ac:dyDescent="0.15">
      <c r="A62" t="s">
        <v>39</v>
      </c>
      <c r="B62">
        <v>270803000</v>
      </c>
      <c r="C62">
        <v>311</v>
      </c>
      <c r="D62" t="s">
        <v>42</v>
      </c>
    </row>
    <row r="63" spans="1:4" x14ac:dyDescent="0.15">
      <c r="A63" t="s">
        <v>39</v>
      </c>
      <c r="B63">
        <v>270803000</v>
      </c>
      <c r="C63">
        <v>313</v>
      </c>
      <c r="D63" t="s">
        <v>42</v>
      </c>
    </row>
    <row r="64" spans="1:4" x14ac:dyDescent="0.15">
      <c r="A64" t="s">
        <v>39</v>
      </c>
      <c r="B64">
        <v>270803000</v>
      </c>
      <c r="C64">
        <v>322</v>
      </c>
      <c r="D64" t="s">
        <v>44</v>
      </c>
    </row>
    <row r="65" spans="1:4" x14ac:dyDescent="0.15">
      <c r="A65" t="s">
        <v>39</v>
      </c>
      <c r="B65">
        <v>270803000</v>
      </c>
      <c r="C65">
        <v>329</v>
      </c>
      <c r="D65" t="s">
        <v>42</v>
      </c>
    </row>
    <row r="66" spans="1:4" x14ac:dyDescent="0.15">
      <c r="A66" t="s">
        <v>39</v>
      </c>
      <c r="B66">
        <v>270803000</v>
      </c>
      <c r="C66">
        <v>2</v>
      </c>
      <c r="D66" t="s">
        <v>42</v>
      </c>
    </row>
    <row r="67" spans="1:4" x14ac:dyDescent="0.15">
      <c r="A67" t="s">
        <v>39</v>
      </c>
      <c r="B67">
        <v>270803000</v>
      </c>
      <c r="C67">
        <v>3</v>
      </c>
      <c r="D67" t="s">
        <v>44</v>
      </c>
    </row>
    <row r="68" spans="1:4" x14ac:dyDescent="0.15">
      <c r="A68" t="s">
        <v>39</v>
      </c>
      <c r="B68">
        <v>270803000</v>
      </c>
      <c r="C68">
        <v>17</v>
      </c>
      <c r="D68" t="s">
        <v>42</v>
      </c>
    </row>
    <row r="69" spans="1:4" x14ac:dyDescent="0.15">
      <c r="A69" t="s">
        <v>39</v>
      </c>
      <c r="B69">
        <v>270803000</v>
      </c>
      <c r="C69">
        <v>25</v>
      </c>
      <c r="D69" t="s">
        <v>44</v>
      </c>
    </row>
    <row r="70" spans="1:4" x14ac:dyDescent="0.15">
      <c r="A70" t="s">
        <v>39</v>
      </c>
      <c r="B70">
        <v>270803000</v>
      </c>
      <c r="C70">
        <v>34</v>
      </c>
      <c r="D70" t="s">
        <v>44</v>
      </c>
    </row>
    <row r="71" spans="1:4" x14ac:dyDescent="0.15">
      <c r="A71" t="s">
        <v>39</v>
      </c>
      <c r="B71">
        <v>270803000</v>
      </c>
      <c r="C71">
        <v>40</v>
      </c>
      <c r="D71" t="s">
        <v>42</v>
      </c>
    </row>
    <row r="72" spans="1:4" x14ac:dyDescent="0.15">
      <c r="A72" t="s">
        <v>39</v>
      </c>
      <c r="B72">
        <v>270803000</v>
      </c>
      <c r="C72">
        <v>46</v>
      </c>
      <c r="D72" t="s">
        <v>44</v>
      </c>
    </row>
    <row r="73" spans="1:4" x14ac:dyDescent="0.15">
      <c r="A73" t="s">
        <v>39</v>
      </c>
      <c r="B73">
        <v>270803000</v>
      </c>
      <c r="C73">
        <v>47</v>
      </c>
      <c r="D73" t="s">
        <v>44</v>
      </c>
    </row>
    <row r="74" spans="1:4" x14ac:dyDescent="0.15">
      <c r="A74" t="s">
        <v>39</v>
      </c>
      <c r="B74">
        <v>270803000</v>
      </c>
      <c r="C74">
        <v>52</v>
      </c>
      <c r="D74" t="s">
        <v>44</v>
      </c>
    </row>
    <row r="75" spans="1:4" x14ac:dyDescent="0.15">
      <c r="A75" t="s">
        <v>39</v>
      </c>
      <c r="B75">
        <v>270803000</v>
      </c>
      <c r="C75">
        <v>53</v>
      </c>
      <c r="D75" t="s">
        <v>42</v>
      </c>
    </row>
    <row r="76" spans="1:4" x14ac:dyDescent="0.15">
      <c r="A76" t="s">
        <v>39</v>
      </c>
      <c r="B76">
        <v>270803000</v>
      </c>
      <c r="C76">
        <v>60</v>
      </c>
      <c r="D76" t="s">
        <v>42</v>
      </c>
    </row>
    <row r="77" spans="1:4" x14ac:dyDescent="0.15">
      <c r="A77" t="s">
        <v>39</v>
      </c>
      <c r="B77">
        <v>270803000</v>
      </c>
      <c r="C77">
        <v>61</v>
      </c>
      <c r="D77" t="s">
        <v>44</v>
      </c>
    </row>
    <row r="78" spans="1:4" x14ac:dyDescent="0.15">
      <c r="A78" t="s">
        <v>39</v>
      </c>
      <c r="B78">
        <v>270803000</v>
      </c>
      <c r="C78">
        <v>301</v>
      </c>
      <c r="D78" t="s">
        <v>44</v>
      </c>
    </row>
    <row r="79" spans="1:4" x14ac:dyDescent="0.15">
      <c r="A79" t="s">
        <v>39</v>
      </c>
      <c r="B79">
        <v>270803000</v>
      </c>
      <c r="C79">
        <v>310</v>
      </c>
      <c r="D79" t="s">
        <v>44</v>
      </c>
    </row>
    <row r="80" spans="1:4" x14ac:dyDescent="0.15">
      <c r="A80" t="s">
        <v>39</v>
      </c>
      <c r="B80">
        <v>270803000</v>
      </c>
      <c r="C80">
        <v>315</v>
      </c>
      <c r="D80" t="s">
        <v>44</v>
      </c>
    </row>
    <row r="81" spans="1:4" x14ac:dyDescent="0.15">
      <c r="A81" t="s">
        <v>39</v>
      </c>
      <c r="B81">
        <v>270803000</v>
      </c>
      <c r="C81">
        <v>317</v>
      </c>
      <c r="D81" t="s">
        <v>44</v>
      </c>
    </row>
    <row r="82" spans="1:4" x14ac:dyDescent="0.15">
      <c r="A82" t="s">
        <v>39</v>
      </c>
      <c r="B82">
        <v>270803000</v>
      </c>
      <c r="C82">
        <v>0</v>
      </c>
      <c r="D82" t="s">
        <v>43</v>
      </c>
    </row>
    <row r="83" spans="1:4" x14ac:dyDescent="0.15">
      <c r="A83" t="s">
        <v>39</v>
      </c>
      <c r="B83">
        <v>270803000</v>
      </c>
      <c r="C83">
        <v>0</v>
      </c>
      <c r="D83" t="s">
        <v>43</v>
      </c>
    </row>
    <row r="84" spans="1:4" x14ac:dyDescent="0.15">
      <c r="A84" t="s">
        <v>39</v>
      </c>
      <c r="B84">
        <v>270803000</v>
      </c>
      <c r="C84">
        <v>0</v>
      </c>
      <c r="D84" t="s">
        <v>43</v>
      </c>
    </row>
    <row r="85" spans="1:4" x14ac:dyDescent="0.15">
      <c r="A85" t="s">
        <v>39</v>
      </c>
      <c r="B85">
        <v>270803000</v>
      </c>
      <c r="C85">
        <v>0</v>
      </c>
      <c r="D85" t="s">
        <v>43</v>
      </c>
    </row>
    <row r="86" spans="1:4" x14ac:dyDescent="0.15">
      <c r="A86" t="s">
        <v>39</v>
      </c>
      <c r="B86">
        <v>270803000</v>
      </c>
      <c r="C86">
        <v>0</v>
      </c>
      <c r="D86" t="s">
        <v>43</v>
      </c>
    </row>
    <row r="87" spans="1:4" x14ac:dyDescent="0.15">
      <c r="A87" t="s">
        <v>39</v>
      </c>
      <c r="B87">
        <v>270803000</v>
      </c>
      <c r="C87">
        <v>0</v>
      </c>
      <c r="D87" t="s">
        <v>43</v>
      </c>
    </row>
    <row r="88" spans="1:4" x14ac:dyDescent="0.15">
      <c r="A88" t="s">
        <v>39</v>
      </c>
      <c r="B88">
        <v>270803000</v>
      </c>
      <c r="C88">
        <v>0</v>
      </c>
      <c r="D88" t="s">
        <v>43</v>
      </c>
    </row>
    <row r="89" spans="1:4" x14ac:dyDescent="0.15">
      <c r="A89" t="s">
        <v>39</v>
      </c>
      <c r="B89">
        <v>270803000</v>
      </c>
      <c r="C89">
        <v>0</v>
      </c>
      <c r="D89" t="s">
        <v>43</v>
      </c>
    </row>
    <row r="90" spans="1:4" x14ac:dyDescent="0.15">
      <c r="A90" t="s">
        <v>39</v>
      </c>
      <c r="B90">
        <v>270803000</v>
      </c>
      <c r="C90">
        <v>0</v>
      </c>
      <c r="D90" t="s">
        <v>43</v>
      </c>
    </row>
    <row r="91" spans="1:4" x14ac:dyDescent="0.15">
      <c r="A91" t="s">
        <v>39</v>
      </c>
      <c r="B91">
        <v>270803000</v>
      </c>
      <c r="C91">
        <v>0</v>
      </c>
      <c r="D91" t="s">
        <v>43</v>
      </c>
    </row>
    <row r="92" spans="1:4" x14ac:dyDescent="0.15">
      <c r="A92" t="s">
        <v>45</v>
      </c>
      <c r="B92">
        <v>270805000</v>
      </c>
      <c r="C92">
        <v>1</v>
      </c>
      <c r="D92" t="s">
        <v>46</v>
      </c>
    </row>
    <row r="93" spans="1:4" x14ac:dyDescent="0.15">
      <c r="A93" t="s">
        <v>45</v>
      </c>
      <c r="B93">
        <v>270805000</v>
      </c>
      <c r="C93">
        <v>4</v>
      </c>
      <c r="D93" t="s">
        <v>42</v>
      </c>
    </row>
    <row r="94" spans="1:4" x14ac:dyDescent="0.15">
      <c r="A94" t="s">
        <v>45</v>
      </c>
      <c r="B94">
        <v>270805000</v>
      </c>
      <c r="C94">
        <v>19</v>
      </c>
      <c r="D94" t="s">
        <v>42</v>
      </c>
    </row>
    <row r="95" spans="1:4" x14ac:dyDescent="0.15">
      <c r="A95" t="s">
        <v>45</v>
      </c>
      <c r="B95">
        <v>270805000</v>
      </c>
      <c r="C95">
        <v>31</v>
      </c>
      <c r="D95" t="s">
        <v>46</v>
      </c>
    </row>
    <row r="96" spans="1:4" x14ac:dyDescent="0.15">
      <c r="A96" t="s">
        <v>45</v>
      </c>
      <c r="B96">
        <v>270805000</v>
      </c>
      <c r="C96">
        <v>32</v>
      </c>
      <c r="D96" t="s">
        <v>42</v>
      </c>
    </row>
    <row r="97" spans="1:4" x14ac:dyDescent="0.15">
      <c r="A97" t="s">
        <v>45</v>
      </c>
      <c r="B97">
        <v>270805000</v>
      </c>
      <c r="C97">
        <v>59</v>
      </c>
      <c r="D97" t="s">
        <v>42</v>
      </c>
    </row>
    <row r="98" spans="1:4" x14ac:dyDescent="0.15">
      <c r="A98" t="s">
        <v>45</v>
      </c>
      <c r="B98">
        <v>270805000</v>
      </c>
      <c r="C98">
        <v>64</v>
      </c>
      <c r="D98" t="s">
        <v>46</v>
      </c>
    </row>
    <row r="99" spans="1:4" x14ac:dyDescent="0.15">
      <c r="A99" t="s">
        <v>45</v>
      </c>
      <c r="B99">
        <v>270805000</v>
      </c>
      <c r="C99">
        <v>304</v>
      </c>
      <c r="D99" t="s">
        <v>46</v>
      </c>
    </row>
    <row r="100" spans="1:4" x14ac:dyDescent="0.15">
      <c r="A100" t="s">
        <v>45</v>
      </c>
      <c r="B100">
        <v>270805000</v>
      </c>
      <c r="C100">
        <v>312</v>
      </c>
      <c r="D100" t="s">
        <v>46</v>
      </c>
    </row>
    <row r="101" spans="1:4" x14ac:dyDescent="0.15">
      <c r="A101" t="s">
        <v>45</v>
      </c>
      <c r="B101">
        <v>270805000</v>
      </c>
      <c r="C101">
        <v>322</v>
      </c>
      <c r="D101" t="s">
        <v>42</v>
      </c>
    </row>
    <row r="102" spans="1:4" x14ac:dyDescent="0.15">
      <c r="A102" t="s">
        <v>45</v>
      </c>
      <c r="B102">
        <v>270805000</v>
      </c>
      <c r="C102">
        <v>330</v>
      </c>
      <c r="D102" t="s">
        <v>46</v>
      </c>
    </row>
    <row r="103" spans="1:4" x14ac:dyDescent="0.15">
      <c r="A103" t="s">
        <v>45</v>
      </c>
      <c r="B103">
        <v>270805000</v>
      </c>
      <c r="C103">
        <v>11</v>
      </c>
      <c r="D103" t="s">
        <v>46</v>
      </c>
    </row>
    <row r="104" spans="1:4" x14ac:dyDescent="0.15">
      <c r="A104" t="s">
        <v>45</v>
      </c>
      <c r="B104">
        <v>270805000</v>
      </c>
      <c r="C104">
        <v>17</v>
      </c>
      <c r="D104" t="s">
        <v>42</v>
      </c>
    </row>
    <row r="105" spans="1:4" x14ac:dyDescent="0.15">
      <c r="A105" t="s">
        <v>45</v>
      </c>
      <c r="B105">
        <v>270805000</v>
      </c>
      <c r="C105">
        <v>25</v>
      </c>
      <c r="D105" t="s">
        <v>42</v>
      </c>
    </row>
    <row r="106" spans="1:4" x14ac:dyDescent="0.15">
      <c r="A106" t="s">
        <v>45</v>
      </c>
      <c r="B106">
        <v>270805000</v>
      </c>
      <c r="C106">
        <v>34</v>
      </c>
      <c r="D106" t="s">
        <v>46</v>
      </c>
    </row>
    <row r="107" spans="1:4" x14ac:dyDescent="0.15">
      <c r="A107" t="s">
        <v>45</v>
      </c>
      <c r="B107">
        <v>270805000</v>
      </c>
      <c r="C107">
        <v>40</v>
      </c>
      <c r="D107" t="s">
        <v>42</v>
      </c>
    </row>
    <row r="108" spans="1:4" x14ac:dyDescent="0.15">
      <c r="A108" t="s">
        <v>45</v>
      </c>
      <c r="B108">
        <v>270805000</v>
      </c>
      <c r="C108">
        <v>46</v>
      </c>
      <c r="D108" t="s">
        <v>42</v>
      </c>
    </row>
    <row r="109" spans="1:4" x14ac:dyDescent="0.15">
      <c r="A109" t="s">
        <v>45</v>
      </c>
      <c r="B109">
        <v>270805000</v>
      </c>
      <c r="C109">
        <v>47</v>
      </c>
      <c r="D109" t="s">
        <v>42</v>
      </c>
    </row>
    <row r="110" spans="1:4" x14ac:dyDescent="0.15">
      <c r="A110" t="s">
        <v>45</v>
      </c>
      <c r="B110">
        <v>270805000</v>
      </c>
      <c r="C110">
        <v>52</v>
      </c>
      <c r="D110" t="s">
        <v>46</v>
      </c>
    </row>
    <row r="111" spans="1:4" x14ac:dyDescent="0.15">
      <c r="A111" t="s">
        <v>45</v>
      </c>
      <c r="B111">
        <v>270805000</v>
      </c>
      <c r="C111">
        <v>53</v>
      </c>
      <c r="D111" t="s">
        <v>46</v>
      </c>
    </row>
    <row r="112" spans="1:4" x14ac:dyDescent="0.15">
      <c r="A112" t="s">
        <v>45</v>
      </c>
      <c r="B112">
        <v>270805000</v>
      </c>
      <c r="C112">
        <v>56</v>
      </c>
      <c r="D112" t="s">
        <v>46</v>
      </c>
    </row>
    <row r="113" spans="1:4" x14ac:dyDescent="0.15">
      <c r="A113" t="s">
        <v>45</v>
      </c>
      <c r="B113">
        <v>270805000</v>
      </c>
      <c r="C113">
        <v>61</v>
      </c>
      <c r="D113" t="s">
        <v>42</v>
      </c>
    </row>
    <row r="114" spans="1:4" x14ac:dyDescent="0.15">
      <c r="A114" t="s">
        <v>45</v>
      </c>
      <c r="B114">
        <v>270805000</v>
      </c>
      <c r="C114">
        <v>315</v>
      </c>
      <c r="D114" t="s">
        <v>42</v>
      </c>
    </row>
    <row r="115" spans="1:4" x14ac:dyDescent="0.15">
      <c r="A115" t="s">
        <v>45</v>
      </c>
      <c r="B115">
        <v>270805000</v>
      </c>
      <c r="C115">
        <v>316</v>
      </c>
      <c r="D115" t="s">
        <v>46</v>
      </c>
    </row>
    <row r="116" spans="1:4" x14ac:dyDescent="0.15">
      <c r="A116" t="s">
        <v>45</v>
      </c>
      <c r="B116">
        <v>270805000</v>
      </c>
      <c r="C116">
        <v>317</v>
      </c>
      <c r="D116" t="s">
        <v>42</v>
      </c>
    </row>
    <row r="117" spans="1:4" x14ac:dyDescent="0.15">
      <c r="A117" t="s">
        <v>45</v>
      </c>
      <c r="B117">
        <v>270805000</v>
      </c>
      <c r="C117">
        <v>0</v>
      </c>
      <c r="D117" t="s">
        <v>43</v>
      </c>
    </row>
    <row r="118" spans="1:4" x14ac:dyDescent="0.15">
      <c r="A118" t="s">
        <v>45</v>
      </c>
      <c r="B118">
        <v>270805000</v>
      </c>
      <c r="C118">
        <v>0</v>
      </c>
      <c r="D118" t="s">
        <v>43</v>
      </c>
    </row>
    <row r="119" spans="1:4" x14ac:dyDescent="0.15">
      <c r="A119" t="s">
        <v>45</v>
      </c>
      <c r="B119">
        <v>270805000</v>
      </c>
      <c r="C119">
        <v>0</v>
      </c>
      <c r="D119" t="s">
        <v>43</v>
      </c>
    </row>
    <row r="120" spans="1:4" x14ac:dyDescent="0.15">
      <c r="A120" t="s">
        <v>45</v>
      </c>
      <c r="B120">
        <v>270805000</v>
      </c>
      <c r="C120">
        <v>0</v>
      </c>
      <c r="D120" t="s">
        <v>43</v>
      </c>
    </row>
    <row r="121" spans="1:4" x14ac:dyDescent="0.15">
      <c r="A121" t="s">
        <v>45</v>
      </c>
      <c r="B121">
        <v>270805000</v>
      </c>
      <c r="C121">
        <v>0</v>
      </c>
      <c r="D121" t="s">
        <v>43</v>
      </c>
    </row>
    <row r="122" spans="1:4" x14ac:dyDescent="0.15">
      <c r="A122" t="s">
        <v>45</v>
      </c>
      <c r="B122">
        <v>270805000</v>
      </c>
      <c r="C122">
        <v>0</v>
      </c>
      <c r="D122" t="s">
        <v>43</v>
      </c>
    </row>
    <row r="123" spans="1:4" x14ac:dyDescent="0.15">
      <c r="A123" t="s">
        <v>45</v>
      </c>
      <c r="B123">
        <v>270805000</v>
      </c>
      <c r="C123">
        <v>0</v>
      </c>
      <c r="D123" t="s">
        <v>43</v>
      </c>
    </row>
    <row r="124" spans="1:4" x14ac:dyDescent="0.15">
      <c r="A124" t="s">
        <v>45</v>
      </c>
      <c r="B124">
        <v>270805000</v>
      </c>
      <c r="C124">
        <v>0</v>
      </c>
      <c r="D124" t="s">
        <v>43</v>
      </c>
    </row>
    <row r="125" spans="1:4" x14ac:dyDescent="0.15">
      <c r="A125" t="s">
        <v>45</v>
      </c>
      <c r="B125">
        <v>270805000</v>
      </c>
      <c r="C125">
        <v>0</v>
      </c>
      <c r="D125" t="s">
        <v>43</v>
      </c>
    </row>
    <row r="126" spans="1:4" x14ac:dyDescent="0.15">
      <c r="A126" t="s">
        <v>45</v>
      </c>
      <c r="B126">
        <v>270805000</v>
      </c>
      <c r="C126">
        <v>0</v>
      </c>
      <c r="D126" t="s">
        <v>43</v>
      </c>
    </row>
    <row r="127" spans="1:4" x14ac:dyDescent="0.15">
      <c r="A127" t="s">
        <v>45</v>
      </c>
      <c r="B127">
        <v>270805000</v>
      </c>
      <c r="C127">
        <v>0</v>
      </c>
      <c r="D127" t="s">
        <v>43</v>
      </c>
    </row>
    <row r="128" spans="1:4" x14ac:dyDescent="0.15">
      <c r="A128" t="s">
        <v>45</v>
      </c>
      <c r="B128">
        <v>270805000</v>
      </c>
      <c r="C128">
        <v>0</v>
      </c>
      <c r="D128" t="s">
        <v>43</v>
      </c>
    </row>
    <row r="129" spans="1:4" x14ac:dyDescent="0.15">
      <c r="A129" t="s">
        <v>45</v>
      </c>
      <c r="B129">
        <v>270805000</v>
      </c>
      <c r="C129">
        <v>0</v>
      </c>
      <c r="D129" t="s">
        <v>43</v>
      </c>
    </row>
    <row r="130" spans="1:4" x14ac:dyDescent="0.15">
      <c r="A130" t="s">
        <v>45</v>
      </c>
      <c r="B130">
        <v>270805000</v>
      </c>
      <c r="C130">
        <v>0</v>
      </c>
      <c r="D130" t="s">
        <v>43</v>
      </c>
    </row>
    <row r="131" spans="1:4" x14ac:dyDescent="0.15">
      <c r="A131" t="s">
        <v>45</v>
      </c>
      <c r="B131">
        <v>270805000</v>
      </c>
      <c r="C131">
        <v>0</v>
      </c>
      <c r="D131" t="s">
        <v>43</v>
      </c>
    </row>
    <row r="132" spans="1:4" x14ac:dyDescent="0.15">
      <c r="A132" t="s">
        <v>45</v>
      </c>
      <c r="B132">
        <v>270805000</v>
      </c>
      <c r="C132">
        <v>0</v>
      </c>
      <c r="D132" t="s">
        <v>43</v>
      </c>
    </row>
    <row r="133" spans="1:4" x14ac:dyDescent="0.15">
      <c r="A133" t="s">
        <v>45</v>
      </c>
      <c r="B133">
        <v>270805000</v>
      </c>
      <c r="C133">
        <v>0</v>
      </c>
      <c r="D133" t="s">
        <v>43</v>
      </c>
    </row>
    <row r="134" spans="1:4" x14ac:dyDescent="0.15">
      <c r="A134" t="s">
        <v>45</v>
      </c>
      <c r="B134">
        <v>270805000</v>
      </c>
      <c r="C134">
        <v>0</v>
      </c>
      <c r="D134" t="s">
        <v>43</v>
      </c>
    </row>
    <row r="135" spans="1:4" x14ac:dyDescent="0.15">
      <c r="A135" t="s">
        <v>45</v>
      </c>
      <c r="B135">
        <v>270805000</v>
      </c>
      <c r="C135">
        <v>0</v>
      </c>
      <c r="D135" t="s">
        <v>43</v>
      </c>
    </row>
    <row r="136" spans="1:4" x14ac:dyDescent="0.15">
      <c r="A136" t="s">
        <v>45</v>
      </c>
      <c r="B136">
        <v>270805000</v>
      </c>
      <c r="C136">
        <v>0</v>
      </c>
      <c r="D136" t="s">
        <v>43</v>
      </c>
    </row>
    <row r="137" spans="1:4" x14ac:dyDescent="0.15">
      <c r="A137" t="s">
        <v>47</v>
      </c>
      <c r="B137">
        <v>271212000</v>
      </c>
      <c r="C137">
        <v>4</v>
      </c>
      <c r="D137" t="s">
        <v>46</v>
      </c>
    </row>
    <row r="138" spans="1:4" x14ac:dyDescent="0.15">
      <c r="A138" t="s">
        <v>47</v>
      </c>
      <c r="B138">
        <v>271212000</v>
      </c>
      <c r="C138">
        <v>7</v>
      </c>
      <c r="D138" t="s">
        <v>45</v>
      </c>
    </row>
    <row r="139" spans="1:4" x14ac:dyDescent="0.15">
      <c r="A139" t="s">
        <v>47</v>
      </c>
      <c r="B139">
        <v>271212000</v>
      </c>
      <c r="C139">
        <v>15</v>
      </c>
      <c r="D139" t="s">
        <v>46</v>
      </c>
    </row>
    <row r="140" spans="1:4" x14ac:dyDescent="0.15">
      <c r="A140" t="s">
        <v>47</v>
      </c>
      <c r="B140">
        <v>271212000</v>
      </c>
      <c r="C140">
        <v>19</v>
      </c>
      <c r="D140" t="s">
        <v>45</v>
      </c>
    </row>
    <row r="141" spans="1:4" x14ac:dyDescent="0.15">
      <c r="A141" t="s">
        <v>47</v>
      </c>
      <c r="B141">
        <v>271212000</v>
      </c>
      <c r="C141">
        <v>31</v>
      </c>
      <c r="D141" t="s">
        <v>45</v>
      </c>
    </row>
    <row r="142" spans="1:4" x14ac:dyDescent="0.15">
      <c r="A142" t="s">
        <v>47</v>
      </c>
      <c r="B142">
        <v>271212000</v>
      </c>
      <c r="C142">
        <v>32</v>
      </c>
      <c r="D142" t="s">
        <v>46</v>
      </c>
    </row>
    <row r="143" spans="1:4" x14ac:dyDescent="0.15">
      <c r="A143" t="s">
        <v>47</v>
      </c>
      <c r="B143">
        <v>271212000</v>
      </c>
      <c r="C143">
        <v>98</v>
      </c>
      <c r="D143" t="s">
        <v>46</v>
      </c>
    </row>
    <row r="144" spans="1:4" x14ac:dyDescent="0.15">
      <c r="A144" t="s">
        <v>47</v>
      </c>
      <c r="B144">
        <v>271212000</v>
      </c>
      <c r="C144">
        <v>307</v>
      </c>
      <c r="D144" t="s">
        <v>45</v>
      </c>
    </row>
    <row r="145" spans="1:4" x14ac:dyDescent="0.15">
      <c r="A145" t="s">
        <v>47</v>
      </c>
      <c r="B145">
        <v>271212000</v>
      </c>
      <c r="C145">
        <v>3</v>
      </c>
      <c r="D145" t="s">
        <v>46</v>
      </c>
    </row>
    <row r="146" spans="1:4" x14ac:dyDescent="0.15">
      <c r="A146" t="s">
        <v>47</v>
      </c>
      <c r="B146">
        <v>271212000</v>
      </c>
      <c r="C146">
        <v>11</v>
      </c>
      <c r="D146" t="s">
        <v>45</v>
      </c>
    </row>
    <row r="147" spans="1:4" x14ac:dyDescent="0.15">
      <c r="A147" t="s">
        <v>47</v>
      </c>
      <c r="B147">
        <v>271212000</v>
      </c>
      <c r="C147">
        <v>25</v>
      </c>
      <c r="D147" t="s">
        <v>45</v>
      </c>
    </row>
    <row r="148" spans="1:4" x14ac:dyDescent="0.15">
      <c r="A148" t="s">
        <v>47</v>
      </c>
      <c r="B148">
        <v>271212000</v>
      </c>
      <c r="C148">
        <v>40</v>
      </c>
      <c r="D148" t="s">
        <v>46</v>
      </c>
    </row>
    <row r="149" spans="1:4" x14ac:dyDescent="0.15">
      <c r="A149" t="s">
        <v>47</v>
      </c>
      <c r="B149">
        <v>271212000</v>
      </c>
      <c r="C149">
        <v>46</v>
      </c>
      <c r="D149" t="s">
        <v>45</v>
      </c>
    </row>
    <row r="150" spans="1:4" x14ac:dyDescent="0.15">
      <c r="A150" t="s">
        <v>47</v>
      </c>
      <c r="B150">
        <v>271212000</v>
      </c>
      <c r="C150">
        <v>47</v>
      </c>
      <c r="D150" t="s">
        <v>45</v>
      </c>
    </row>
    <row r="151" spans="1:4" x14ac:dyDescent="0.15">
      <c r="A151" t="s">
        <v>47</v>
      </c>
      <c r="B151">
        <v>271212000</v>
      </c>
      <c r="C151">
        <v>52</v>
      </c>
      <c r="D151" t="s">
        <v>46</v>
      </c>
    </row>
    <row r="152" spans="1:4" x14ac:dyDescent="0.15">
      <c r="A152" t="s">
        <v>47</v>
      </c>
      <c r="B152">
        <v>271212000</v>
      </c>
      <c r="C152">
        <v>53</v>
      </c>
      <c r="D152" t="s">
        <v>46</v>
      </c>
    </row>
    <row r="153" spans="1:4" x14ac:dyDescent="0.15">
      <c r="A153" t="s">
        <v>47</v>
      </c>
      <c r="B153">
        <v>271212000</v>
      </c>
      <c r="C153">
        <v>56</v>
      </c>
      <c r="D153" t="s">
        <v>45</v>
      </c>
    </row>
    <row r="154" spans="1:4" x14ac:dyDescent="0.15">
      <c r="A154" t="s">
        <v>47</v>
      </c>
      <c r="B154">
        <v>271212000</v>
      </c>
      <c r="C154">
        <v>310</v>
      </c>
      <c r="D154" t="s">
        <v>46</v>
      </c>
    </row>
    <row r="155" spans="1:4" x14ac:dyDescent="0.15">
      <c r="A155" t="s">
        <v>47</v>
      </c>
      <c r="B155">
        <v>271212000</v>
      </c>
      <c r="C155">
        <v>316</v>
      </c>
      <c r="D155" t="s">
        <v>46</v>
      </c>
    </row>
    <row r="156" spans="1:4" x14ac:dyDescent="0.15">
      <c r="A156" t="s">
        <v>47</v>
      </c>
      <c r="B156">
        <v>271212000</v>
      </c>
      <c r="C156">
        <v>317</v>
      </c>
      <c r="D156" t="s">
        <v>46</v>
      </c>
    </row>
    <row r="157" spans="1:4" x14ac:dyDescent="0.15">
      <c r="A157" t="s">
        <v>47</v>
      </c>
      <c r="B157">
        <v>271212000</v>
      </c>
      <c r="C157">
        <v>0</v>
      </c>
      <c r="D157" t="s">
        <v>43</v>
      </c>
    </row>
    <row r="158" spans="1:4" x14ac:dyDescent="0.15">
      <c r="A158" t="s">
        <v>47</v>
      </c>
      <c r="B158">
        <v>271212000</v>
      </c>
      <c r="C158">
        <v>0</v>
      </c>
      <c r="D158" t="s">
        <v>43</v>
      </c>
    </row>
    <row r="159" spans="1:4" x14ac:dyDescent="0.15">
      <c r="A159" t="s">
        <v>47</v>
      </c>
      <c r="B159">
        <v>271212000</v>
      </c>
      <c r="C159">
        <v>0</v>
      </c>
      <c r="D159" t="s">
        <v>43</v>
      </c>
    </row>
    <row r="160" spans="1:4" x14ac:dyDescent="0.15">
      <c r="A160" t="s">
        <v>47</v>
      </c>
      <c r="B160">
        <v>271212000</v>
      </c>
      <c r="C160">
        <v>0</v>
      </c>
      <c r="D160" t="s">
        <v>43</v>
      </c>
    </row>
    <row r="161" spans="1:4" x14ac:dyDescent="0.15">
      <c r="A161" t="s">
        <v>47</v>
      </c>
      <c r="B161">
        <v>271212000</v>
      </c>
      <c r="C161">
        <v>0</v>
      </c>
      <c r="D161" t="s">
        <v>43</v>
      </c>
    </row>
    <row r="162" spans="1:4" x14ac:dyDescent="0.15">
      <c r="A162" t="s">
        <v>47</v>
      </c>
      <c r="B162">
        <v>271212000</v>
      </c>
      <c r="C162">
        <v>0</v>
      </c>
      <c r="D162" t="s">
        <v>43</v>
      </c>
    </row>
    <row r="163" spans="1:4" x14ac:dyDescent="0.15">
      <c r="A163" t="s">
        <v>47</v>
      </c>
      <c r="B163">
        <v>271212000</v>
      </c>
      <c r="C163">
        <v>0</v>
      </c>
      <c r="D163" t="s">
        <v>43</v>
      </c>
    </row>
    <row r="164" spans="1:4" x14ac:dyDescent="0.15">
      <c r="A164" t="s">
        <v>47</v>
      </c>
      <c r="B164">
        <v>271212000</v>
      </c>
      <c r="C164">
        <v>0</v>
      </c>
      <c r="D164" t="s">
        <v>43</v>
      </c>
    </row>
    <row r="165" spans="1:4" x14ac:dyDescent="0.15">
      <c r="A165" t="s">
        <v>47</v>
      </c>
      <c r="B165">
        <v>271212000</v>
      </c>
      <c r="C165">
        <v>0</v>
      </c>
      <c r="D165" t="s">
        <v>43</v>
      </c>
    </row>
    <row r="166" spans="1:4" x14ac:dyDescent="0.15">
      <c r="A166" t="s">
        <v>47</v>
      </c>
      <c r="B166">
        <v>271212000</v>
      </c>
      <c r="C166">
        <v>0</v>
      </c>
      <c r="D166" t="s">
        <v>43</v>
      </c>
    </row>
    <row r="167" spans="1:4" x14ac:dyDescent="0.15">
      <c r="A167" t="s">
        <v>47</v>
      </c>
      <c r="B167">
        <v>271212000</v>
      </c>
      <c r="C167">
        <v>0</v>
      </c>
      <c r="D167" t="s">
        <v>43</v>
      </c>
    </row>
    <row r="168" spans="1:4" x14ac:dyDescent="0.15">
      <c r="A168" t="s">
        <v>47</v>
      </c>
      <c r="B168">
        <v>271212000</v>
      </c>
      <c r="C168">
        <v>0</v>
      </c>
      <c r="D168" t="s">
        <v>43</v>
      </c>
    </row>
    <row r="169" spans="1:4" x14ac:dyDescent="0.15">
      <c r="A169" t="s">
        <v>47</v>
      </c>
      <c r="B169">
        <v>271212000</v>
      </c>
      <c r="C169">
        <v>0</v>
      </c>
      <c r="D169" t="s">
        <v>43</v>
      </c>
    </row>
    <row r="170" spans="1:4" x14ac:dyDescent="0.15">
      <c r="A170" t="s">
        <v>47</v>
      </c>
      <c r="B170">
        <v>271212000</v>
      </c>
      <c r="C170">
        <v>0</v>
      </c>
      <c r="D170" t="s">
        <v>43</v>
      </c>
    </row>
    <row r="171" spans="1:4" x14ac:dyDescent="0.15">
      <c r="A171" t="s">
        <v>47</v>
      </c>
      <c r="B171">
        <v>271212000</v>
      </c>
      <c r="C171">
        <v>0</v>
      </c>
      <c r="D171" t="s">
        <v>43</v>
      </c>
    </row>
    <row r="172" spans="1:4" x14ac:dyDescent="0.15">
      <c r="A172" t="s">
        <v>47</v>
      </c>
      <c r="B172">
        <v>271212000</v>
      </c>
      <c r="C172">
        <v>0</v>
      </c>
      <c r="D172" t="s">
        <v>43</v>
      </c>
    </row>
    <row r="173" spans="1:4" x14ac:dyDescent="0.15">
      <c r="A173" t="s">
        <v>47</v>
      </c>
      <c r="B173">
        <v>271212000</v>
      </c>
      <c r="C173">
        <v>0</v>
      </c>
      <c r="D173" t="s">
        <v>43</v>
      </c>
    </row>
    <row r="174" spans="1:4" x14ac:dyDescent="0.15">
      <c r="A174" t="s">
        <v>47</v>
      </c>
      <c r="B174">
        <v>271212000</v>
      </c>
      <c r="C174">
        <v>0</v>
      </c>
      <c r="D174" t="s">
        <v>43</v>
      </c>
    </row>
    <row r="175" spans="1:4" x14ac:dyDescent="0.15">
      <c r="A175" t="s">
        <v>47</v>
      </c>
      <c r="B175">
        <v>271212000</v>
      </c>
      <c r="C175">
        <v>0</v>
      </c>
      <c r="D175" t="s">
        <v>43</v>
      </c>
    </row>
    <row r="176" spans="1:4" x14ac:dyDescent="0.15">
      <c r="A176" t="s">
        <v>47</v>
      </c>
      <c r="B176">
        <v>271212000</v>
      </c>
      <c r="C176">
        <v>0</v>
      </c>
      <c r="D176" t="s">
        <v>43</v>
      </c>
    </row>
    <row r="177" spans="1:4" x14ac:dyDescent="0.15">
      <c r="A177" t="s">
        <v>47</v>
      </c>
      <c r="B177">
        <v>271212000</v>
      </c>
      <c r="C177">
        <v>0</v>
      </c>
      <c r="D177" t="s">
        <v>43</v>
      </c>
    </row>
    <row r="178" spans="1:4" x14ac:dyDescent="0.15">
      <c r="A178" t="s">
        <v>47</v>
      </c>
      <c r="B178">
        <v>271212000</v>
      </c>
      <c r="C178">
        <v>0</v>
      </c>
      <c r="D178" t="s">
        <v>43</v>
      </c>
    </row>
    <row r="179" spans="1:4" x14ac:dyDescent="0.15">
      <c r="A179" t="s">
        <v>47</v>
      </c>
      <c r="B179">
        <v>271212000</v>
      </c>
      <c r="C179">
        <v>0</v>
      </c>
      <c r="D179" t="s">
        <v>43</v>
      </c>
    </row>
    <row r="180" spans="1:4" x14ac:dyDescent="0.15">
      <c r="A180" t="s">
        <v>47</v>
      </c>
      <c r="B180">
        <v>271212000</v>
      </c>
      <c r="C180">
        <v>0</v>
      </c>
      <c r="D180" t="s">
        <v>43</v>
      </c>
    </row>
    <row r="181" spans="1:4" x14ac:dyDescent="0.15">
      <c r="A181" t="s">
        <v>47</v>
      </c>
      <c r="B181">
        <v>271212000</v>
      </c>
      <c r="C181">
        <v>0</v>
      </c>
      <c r="D181" t="s">
        <v>43</v>
      </c>
    </row>
  </sheetData>
  <autoFilter ref="A1:D37" xr:uid="{00000000-0009-0000-0000-000003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Demanda</vt:lpstr>
      <vt:lpstr>Solver</vt:lpstr>
      <vt:lpstr>Asignacion</vt:lpstr>
      <vt:lpstr>Resultado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Alvarez</dc:creator>
  <cp:lastModifiedBy>Microsoft Office User</cp:lastModifiedBy>
  <dcterms:created xsi:type="dcterms:W3CDTF">2021-03-17T09:36:04Z</dcterms:created>
  <dcterms:modified xsi:type="dcterms:W3CDTF">2022-11-07T15:52:07Z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a2bc1b97-8a19-45db-965c-0f4f351a7f72</vt:lpwstr>
  </property>
  <property fmtid="{D5CDD505-2E9C-101B-9397-08002B2CF9AE}" pid="3" name="bjDocumentSecurityLabel">
    <vt:lpwstr>No Marking</vt:lpwstr>
  </property>
</Properties>
</file>